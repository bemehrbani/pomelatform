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aS Market" sheetId="1" r:id="rId4"/>
    <sheet state="visible" name="Services" sheetId="2" r:id="rId5"/>
    <sheet state="visible" name="Prof bus" sheetId="3" r:id="rId6"/>
    <sheet state="visible" name="Taul1" sheetId="4" r:id="rId7"/>
    <sheet state="visible" name="Taul3" sheetId="5" r:id="rId8"/>
  </sheets>
  <definedNames/>
  <calcPr/>
  <extLst>
    <ext uri="GoogleSheetsCustomDataVersion2">
      <go:sheetsCustomData xmlns:go="http://customooxmlschemas.google.com/" r:id="rId9" roundtripDataChecksum="pkRObmp8B1lGD6U5GfDii40DsXXFYGXPlbLidruftIc="/>
    </ext>
  </extLst>
</workbook>
</file>

<file path=xl/sharedStrings.xml><?xml version="1.0" encoding="utf-8"?>
<sst xmlns="http://schemas.openxmlformats.org/spreadsheetml/2006/main" count="178" uniqueCount="108">
  <si>
    <t>Total Adressable Market (# of companies)</t>
  </si>
  <si>
    <t>Serviceable Market  (# of companies)</t>
  </si>
  <si>
    <t>Serviceable Annual Recurring Reveue (000 €)</t>
  </si>
  <si>
    <t>(ExecutESG:n tuoteportfolio)</t>
  </si>
  <si>
    <t>Serviceable Obtainable Market revenue (000 €)</t>
  </si>
  <si>
    <t>SOM Annual Recurring revenue share (000 €)</t>
  </si>
  <si>
    <t>Serviceable Obtainable Market (# of companies)</t>
  </si>
  <si>
    <t>Data extracted on 30/06/2025 09:29:45 from [ESTAT]</t>
  </si>
  <si>
    <t>ExecuESG</t>
  </si>
  <si>
    <t>Data from year: 2023</t>
  </si>
  <si>
    <t>Micro</t>
  </si>
  <si>
    <t>Small 1</t>
  </si>
  <si>
    <t>Small 2</t>
  </si>
  <si>
    <t>Medium</t>
  </si>
  <si>
    <t>Large</t>
  </si>
  <si>
    <t>CSRD</t>
  </si>
  <si>
    <t>share</t>
  </si>
  <si>
    <t>Number of employees</t>
  </si>
  <si>
    <t>Total</t>
  </si>
  <si>
    <t>0-9</t>
  </si>
  <si>
    <t>10-19</t>
  </si>
  <si>
    <t>20-49</t>
  </si>
  <si>
    <t>50-249</t>
  </si>
  <si>
    <t>&gt;250</t>
  </si>
  <si>
    <t>&gt; 1000</t>
  </si>
  <si>
    <t>Go-to-market priority</t>
  </si>
  <si>
    <t>Target market share (eur)</t>
  </si>
  <si>
    <t>GTM start</t>
  </si>
  <si>
    <t>GTM time in months</t>
  </si>
  <si>
    <t>TAM # of companies</t>
  </si>
  <si>
    <t>SAM # of comapanies</t>
  </si>
  <si>
    <t>SAM ARR (000 €)</t>
  </si>
  <si>
    <t>SOM (revenue 000 €)</t>
  </si>
  <si>
    <t>SOM ARR (revenue 000 €)</t>
  </si>
  <si>
    <t>SOM (# of companies)</t>
  </si>
  <si>
    <t>Country</t>
  </si>
  <si>
    <t>Finland</t>
  </si>
  <si>
    <t>Germany</t>
  </si>
  <si>
    <t>France</t>
  </si>
  <si>
    <t>Netherlands</t>
  </si>
  <si>
    <t>Sweden</t>
  </si>
  <si>
    <t>Italy</t>
  </si>
  <si>
    <t>Spain</t>
  </si>
  <si>
    <t>Poland</t>
  </si>
  <si>
    <t>Switzerland</t>
  </si>
  <si>
    <t>Austria</t>
  </si>
  <si>
    <t>Belgium</t>
  </si>
  <si>
    <t>Denmark</t>
  </si>
  <si>
    <t>Ireland</t>
  </si>
  <si>
    <t>Romania</t>
  </si>
  <si>
    <t>Czechia</t>
  </si>
  <si>
    <t>Portugal</t>
  </si>
  <si>
    <t>Greece</t>
  </si>
  <si>
    <t>Hungary</t>
  </si>
  <si>
    <t>Bulgaria</t>
  </si>
  <si>
    <t>Slovakia</t>
  </si>
  <si>
    <t>Lithuania</t>
  </si>
  <si>
    <t>Croatia</t>
  </si>
  <si>
    <t>Slovenia</t>
  </si>
  <si>
    <t>Norway</t>
  </si>
  <si>
    <t>Serbia</t>
  </si>
  <si>
    <t>Latvia</t>
  </si>
  <si>
    <t>Bosnia and Herzegovina</t>
  </si>
  <si>
    <t>Estonia</t>
  </si>
  <si>
    <t>Luxembourg</t>
  </si>
  <si>
    <t>North Macedonia</t>
  </si>
  <si>
    <t>Cyprus</t>
  </si>
  <si>
    <t>Malta</t>
  </si>
  <si>
    <t>Iceland</t>
  </si>
  <si>
    <t>SaaS product</t>
  </si>
  <si>
    <t>Yearly fee</t>
  </si>
  <si>
    <t>Focus segment</t>
  </si>
  <si>
    <t>Strategy + Operative plan (DMA + PATM)</t>
  </si>
  <si>
    <t>Medium, Large</t>
  </si>
  <si>
    <t>VSME data for corporations</t>
  </si>
  <si>
    <t>VSME  (+DMA)</t>
  </si>
  <si>
    <t>Small 1, Small 2, Medium, Large</t>
  </si>
  <si>
    <t>Professional business</t>
  </si>
  <si>
    <t>Asiakkuuksia</t>
  </si>
  <si>
    <t>per vuosi</t>
  </si>
  <si>
    <t>Laskutus</t>
  </si>
  <si>
    <t>per case</t>
  </si>
  <si>
    <t>Konsultointibusineksen kokonaisarvo</t>
  </si>
  <si>
    <t>ESG Consulting Euro Market</t>
  </si>
  <si>
    <t>MUSD</t>
  </si>
  <si>
    <t>MEUR</t>
  </si>
  <si>
    <t>CAGR</t>
  </si>
  <si>
    <t>Total adressable market (MEUR)</t>
  </si>
  <si>
    <t>Serviceable market (MEUR)</t>
  </si>
  <si>
    <t>Serviceable obtainable market (MEUR)</t>
  </si>
  <si>
    <t>Market share, %</t>
  </si>
  <si>
    <t>EU24</t>
  </si>
  <si>
    <t>FIN</t>
  </si>
  <si>
    <t>Henkilöstö</t>
  </si>
  <si>
    <t>Markkinointi</t>
  </si>
  <si>
    <t>Tilat</t>
  </si>
  <si>
    <t>Muut liiketoiminnan kulut</t>
  </si>
  <si>
    <t>Invoicing (Thousans Euros)</t>
  </si>
  <si>
    <t>y-o-y</t>
  </si>
  <si>
    <t>Expenses</t>
  </si>
  <si>
    <t>Käyttökate</t>
  </si>
  <si>
    <t>Projektit</t>
  </si>
  <si>
    <t>Myynti</t>
  </si>
  <si>
    <t>Tech</t>
  </si>
  <si>
    <t>Hallinto</t>
  </si>
  <si>
    <t>Employee Costs</t>
  </si>
  <si>
    <t>Kustannus</t>
  </si>
  <si>
    <t>Tuotanto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</si>
</sst>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_-;\-* #,##0.00_-;_-* &quot;-&quot;??_-;_-@"/>
    <numFmt numFmtId="165" formatCode="_-* #,##0\ &quot;€&quot;_-;\-* #,##0\ &quot;€&quot;_-;_-* &quot;-&quot;??\ &quot;€&quot;_-;_-@"/>
    <numFmt numFmtId="166" formatCode="0.0\ %"/>
    <numFmt numFmtId="167" formatCode="dd/mm/yyyy"/>
    <numFmt numFmtId="168" formatCode="_-* #,##0_-;\-* #,##0_-;_-* &quot;-&quot;??_-;_-@"/>
    <numFmt numFmtId="169" formatCode="#,##0\ &quot;€&quot;;[Red]\-#,##0\ &quot;€&quot;"/>
    <numFmt numFmtId="170" formatCode="[$-40B]mmmm\ yy"/>
    <numFmt numFmtId="171" formatCode="0.0"/>
  </numFmts>
  <fonts count="16">
    <font>
      <sz val="11.0"/>
      <color rgb="FF000000"/>
      <name val="Aptos Narrow"/>
      <scheme val="minor"/>
    </font>
    <font>
      <b/>
      <sz val="11.0"/>
      <color rgb="FF000000"/>
      <name val="Aptos Narrow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rgb="FF3F3F76"/>
      <name val="Aptos Narrow"/>
    </font>
    <font>
      <sz val="11.0"/>
      <color theme="0"/>
      <name val="Aptos Narrow"/>
    </font>
    <font>
      <sz val="11.0"/>
      <color rgb="FFFFFFFF"/>
      <name val="Arial"/>
    </font>
    <font>
      <b/>
      <sz val="11.0"/>
      <color rgb="FFFFFFFF"/>
      <name val="Arial"/>
    </font>
    <font>
      <b/>
      <sz val="11.0"/>
      <color theme="0"/>
      <name val="Aptos Narrow"/>
    </font>
    <font>
      <b/>
      <sz val="9.0"/>
      <color theme="1"/>
      <name val="Aptos Narrow"/>
    </font>
    <font>
      <b/>
      <sz val="10.0"/>
      <color theme="0"/>
      <name val="Aptos Narrow"/>
    </font>
    <font>
      <sz val="10.0"/>
      <color theme="0"/>
      <name val="Aptos Narrow"/>
    </font>
    <font>
      <color theme="1"/>
      <name val="Arial"/>
    </font>
    <font>
      <u/>
      <sz val="11.0"/>
      <color rgb="FF000000"/>
      <name val="Aptos Narrow"/>
    </font>
    <font>
      <b/>
      <u/>
      <sz val="11.0"/>
      <color rgb="FF000000"/>
      <name val="Aptos Narrow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215E99"/>
        <bgColor rgb="FF215E99"/>
      </patternFill>
    </fill>
    <fill>
      <patternFill patternType="solid">
        <fgColor rgb="FFC1E4F5"/>
        <bgColor rgb="FFC1E4F5"/>
      </patternFill>
    </fill>
    <fill>
      <patternFill patternType="solid">
        <fgColor theme="5"/>
        <bgColor theme="5"/>
      </patternFill>
    </fill>
    <fill>
      <patternFill patternType="solid">
        <fgColor rgb="FFF1A983"/>
        <bgColor rgb="FFF1A983"/>
      </patternFill>
    </fill>
    <fill>
      <patternFill patternType="solid">
        <fgColor rgb="FFD0D0D0"/>
        <bgColor rgb="FFD0D0D0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shrinkToFit="0" wrapText="1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2" numFmtId="0" xfId="0" applyFont="1"/>
    <xf borderId="0" fillId="0" fontId="3" numFmtId="0" xfId="0" applyAlignment="1" applyFont="1">
      <alignment horizontal="center" shrinkToFit="0" wrapText="1"/>
    </xf>
    <xf borderId="5" fillId="0" fontId="1" numFmtId="0" xfId="0" applyBorder="1" applyFont="1"/>
    <xf borderId="0" fillId="0" fontId="3" numFmtId="164" xfId="0" applyFont="1" applyNumberFormat="1"/>
    <xf borderId="6" fillId="0" fontId="3" numFmtId="0" xfId="0" applyBorder="1" applyFont="1"/>
    <xf borderId="5" fillId="0" fontId="1" numFmtId="164" xfId="0" applyBorder="1" applyFont="1" applyNumberFormat="1"/>
    <xf borderId="7" fillId="2" fontId="4" numFmtId="10" xfId="0" applyBorder="1" applyFill="1" applyFont="1" applyNumberFormat="1"/>
    <xf borderId="8" fillId="2" fontId="4" numFmtId="9" xfId="0" applyBorder="1" applyFont="1" applyNumberFormat="1"/>
    <xf borderId="9" fillId="2" fontId="4" numFmtId="9" xfId="0" applyBorder="1" applyFont="1" applyNumberFormat="1"/>
    <xf borderId="7" fillId="2" fontId="4" numFmtId="165" xfId="0" applyBorder="1" applyFont="1" applyNumberFormat="1"/>
    <xf borderId="8" fillId="2" fontId="4" numFmtId="165" xfId="0" applyBorder="1" applyFont="1" applyNumberFormat="1"/>
    <xf borderId="9" fillId="2" fontId="4" numFmtId="165" xfId="0" applyBorder="1" applyFont="1" applyNumberFormat="1"/>
    <xf borderId="7" fillId="2" fontId="4" numFmtId="166" xfId="0" applyBorder="1" applyFont="1" applyNumberFormat="1"/>
    <xf borderId="8" fillId="2" fontId="4" numFmtId="166" xfId="0" applyBorder="1" applyFont="1" applyNumberFormat="1"/>
    <xf borderId="9" fillId="2" fontId="4" numFmtId="166" xfId="0" applyBorder="1" applyFont="1" applyNumberFormat="1"/>
    <xf borderId="10" fillId="0" fontId="1" numFmtId="0" xfId="0" applyBorder="1" applyFont="1"/>
    <xf borderId="8" fillId="2" fontId="4" numFmtId="9" xfId="0" applyAlignment="1" applyBorder="1" applyFont="1" applyNumberFormat="1">
      <alignment horizontal="right"/>
    </xf>
    <xf borderId="11" fillId="2" fontId="4" numFmtId="9" xfId="0" applyAlignment="1" applyBorder="1" applyFont="1" applyNumberFormat="1">
      <alignment horizontal="right"/>
    </xf>
    <xf borderId="12" fillId="3" fontId="5" numFmtId="0" xfId="0" applyAlignment="1" applyBorder="1" applyFill="1" applyFont="1">
      <alignment horizontal="right"/>
    </xf>
    <xf borderId="13" fillId="3" fontId="6" numFmtId="0" xfId="0" applyAlignment="1" applyBorder="1" applyFont="1">
      <alignment horizontal="right" readingOrder="0"/>
    </xf>
    <xf borderId="13" fillId="3" fontId="5" numFmtId="0" xfId="0" applyAlignment="1" applyBorder="1" applyFont="1">
      <alignment horizontal="right"/>
    </xf>
    <xf borderId="12" fillId="3" fontId="7" numFmtId="0" xfId="0" applyAlignment="1" applyBorder="1" applyFont="1">
      <alignment readingOrder="0"/>
    </xf>
    <xf borderId="12" fillId="3" fontId="8" numFmtId="0" xfId="0" applyAlignment="1" applyBorder="1" applyFont="1">
      <alignment horizontal="center" shrinkToFit="0" wrapText="1"/>
    </xf>
    <xf borderId="14" fillId="3" fontId="8" numFmtId="0" xfId="0" applyAlignment="1" applyBorder="1" applyFont="1">
      <alignment horizontal="right"/>
    </xf>
    <xf borderId="15" fillId="3" fontId="8" numFmtId="0" xfId="0" applyAlignment="1" applyBorder="1" applyFont="1">
      <alignment horizontal="right"/>
    </xf>
    <xf borderId="12" fillId="3" fontId="8" numFmtId="0" xfId="0" applyBorder="1" applyFont="1"/>
    <xf borderId="12" fillId="4" fontId="9" numFmtId="0" xfId="0" applyAlignment="1" applyBorder="1" applyFill="1" applyFont="1">
      <alignment horizontal="center" shrinkToFit="0" wrapText="1"/>
    </xf>
    <xf borderId="14" fillId="5" fontId="10" numFmtId="0" xfId="0" applyAlignment="1" applyBorder="1" applyFill="1" applyFont="1">
      <alignment horizontal="right" shrinkToFit="0" wrapText="1"/>
    </xf>
    <xf borderId="12" fillId="3" fontId="11" numFmtId="0" xfId="0" applyAlignment="1" applyBorder="1" applyFont="1">
      <alignment horizontal="right"/>
    </xf>
    <xf borderId="13" fillId="3" fontId="11" numFmtId="0" xfId="0" applyAlignment="1" applyBorder="1" applyFont="1">
      <alignment horizontal="right"/>
    </xf>
    <xf borderId="14" fillId="5" fontId="10" numFmtId="0" xfId="0" applyAlignment="1" applyBorder="1" applyFont="1">
      <alignment shrinkToFit="0" wrapText="1"/>
    </xf>
    <xf borderId="15" fillId="5" fontId="10" numFmtId="0" xfId="0" applyAlignment="1" applyBorder="1" applyFont="1">
      <alignment horizontal="right" shrinkToFit="0" wrapText="1"/>
    </xf>
    <xf borderId="12" fillId="3" fontId="11" numFmtId="9" xfId="0" applyAlignment="1" applyBorder="1" applyFont="1" applyNumberFormat="1">
      <alignment horizontal="right"/>
    </xf>
    <xf borderId="12" fillId="6" fontId="1" numFmtId="0" xfId="0" applyBorder="1" applyFill="1" applyFont="1"/>
    <xf borderId="12" fillId="4" fontId="1" numFmtId="0" xfId="0" applyAlignment="1" applyBorder="1" applyFont="1">
      <alignment horizontal="center" shrinkToFit="0" wrapText="1"/>
    </xf>
    <xf borderId="12" fillId="4" fontId="1" numFmtId="166" xfId="0" applyAlignment="1" applyBorder="1" applyFont="1" applyNumberFormat="1">
      <alignment horizontal="center" shrinkToFit="0" wrapText="1"/>
    </xf>
    <xf borderId="14" fillId="7" fontId="1" numFmtId="3" xfId="0" applyBorder="1" applyFill="1" applyFont="1" applyNumberFormat="1"/>
    <xf borderId="12" fillId="7" fontId="1" numFmtId="3" xfId="0" applyBorder="1" applyFont="1" applyNumberFormat="1"/>
    <xf borderId="13" fillId="7" fontId="1" numFmtId="3" xfId="0" applyBorder="1" applyFont="1" applyNumberFormat="1"/>
    <xf borderId="15" fillId="7" fontId="1" numFmtId="3" xfId="0" applyBorder="1" applyFont="1" applyNumberFormat="1"/>
    <xf borderId="12" fillId="6" fontId="3" numFmtId="0" xfId="0" applyBorder="1" applyFont="1"/>
    <xf borderId="12" fillId="4" fontId="3" numFmtId="0" xfId="0" applyAlignment="1" applyBorder="1" applyFont="1">
      <alignment horizontal="center" shrinkToFit="0" wrapText="1"/>
    </xf>
    <xf borderId="12" fillId="4" fontId="3" numFmtId="166" xfId="0" applyAlignment="1" applyBorder="1" applyFont="1" applyNumberFormat="1">
      <alignment horizontal="center" shrinkToFit="0" wrapText="1"/>
    </xf>
    <xf borderId="12" fillId="4" fontId="3" numFmtId="167" xfId="0" applyAlignment="1" applyBorder="1" applyFont="1" applyNumberFormat="1">
      <alignment horizontal="center" shrinkToFit="0" wrapText="1"/>
    </xf>
    <xf borderId="14" fillId="4" fontId="1" numFmtId="3" xfId="0" applyBorder="1" applyFont="1" applyNumberFormat="1"/>
    <xf borderId="12" fillId="4" fontId="3" numFmtId="3" xfId="0" applyBorder="1" applyFont="1" applyNumberFormat="1"/>
    <xf borderId="13" fillId="4" fontId="3" numFmtId="3" xfId="0" applyBorder="1" applyFont="1" applyNumberFormat="1"/>
    <xf borderId="15" fillId="4" fontId="1" numFmtId="3" xfId="0" applyBorder="1" applyFont="1" applyNumberFormat="1"/>
    <xf borderId="0" fillId="0" fontId="3" numFmtId="3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3" xfId="0" applyFont="1" applyNumberFormat="1"/>
    <xf borderId="6" fillId="0" fontId="3" numFmtId="3" xfId="0" applyBorder="1" applyFont="1" applyNumberFormat="1"/>
    <xf borderId="5" fillId="0" fontId="1" numFmtId="3" xfId="0" applyBorder="1" applyFont="1" applyNumberFormat="1"/>
    <xf borderId="10" fillId="0" fontId="1" numFmtId="3" xfId="0" applyBorder="1" applyFont="1" applyNumberFormat="1"/>
    <xf borderId="12" fillId="4" fontId="3" numFmtId="3" xfId="0" applyAlignment="1" applyBorder="1" applyFont="1" applyNumberFormat="1">
      <alignment horizontal="center"/>
    </xf>
    <xf borderId="12" fillId="4" fontId="3" numFmtId="166" xfId="0" applyAlignment="1" applyBorder="1" applyFont="1" applyNumberFormat="1">
      <alignment horizontal="center"/>
    </xf>
    <xf borderId="12" fillId="4" fontId="3" numFmtId="167" xfId="0" applyAlignment="1" applyBorder="1" applyFont="1" applyNumberFormat="1">
      <alignment horizontal="center"/>
    </xf>
    <xf borderId="16" fillId="4" fontId="1" numFmtId="3" xfId="0" applyBorder="1" applyFont="1" applyNumberFormat="1"/>
    <xf borderId="17" fillId="0" fontId="3" numFmtId="3" xfId="0" applyBorder="1" applyFont="1" applyNumberFormat="1"/>
    <xf borderId="18" fillId="0" fontId="3" numFmtId="3" xfId="0" applyBorder="1" applyFont="1" applyNumberFormat="1"/>
    <xf borderId="19" fillId="0" fontId="1" numFmtId="3" xfId="0" applyBorder="1" applyFont="1" applyNumberFormat="1"/>
    <xf borderId="20" fillId="0" fontId="1" numFmtId="3" xfId="0" applyBorder="1" applyFont="1" applyNumberFormat="1"/>
    <xf borderId="21" fillId="0" fontId="1" numFmtId="3" xfId="0" applyBorder="1" applyFont="1" applyNumberFormat="1"/>
    <xf borderId="22" fillId="4" fontId="3" numFmtId="3" xfId="0" applyBorder="1" applyFont="1" applyNumberFormat="1"/>
    <xf borderId="23" fillId="4" fontId="3" numFmtId="3" xfId="0" applyBorder="1" applyFont="1" applyNumberFormat="1"/>
    <xf borderId="0" fillId="0" fontId="8" numFmtId="0" xfId="0" applyAlignment="1" applyFont="1">
      <alignment horizontal="right"/>
    </xf>
    <xf borderId="0" fillId="0" fontId="1" numFmtId="3" xfId="0" applyFont="1" applyNumberFormat="1"/>
    <xf borderId="0" fillId="0" fontId="12" numFmtId="0" xfId="0" applyAlignment="1" applyFont="1">
      <alignment readingOrder="0"/>
    </xf>
    <xf borderId="0" fillId="0" fontId="3" numFmtId="168" xfId="0" applyFont="1" applyNumberFormat="1"/>
    <xf borderId="0" fillId="0" fontId="13" numFmtId="0" xfId="0" applyFont="1"/>
    <xf borderId="0" fillId="0" fontId="3" numFmtId="10" xfId="0" applyFont="1" applyNumberFormat="1"/>
    <xf borderId="0" fillId="0" fontId="3" numFmtId="2" xfId="0" applyFont="1" applyNumberFormat="1"/>
    <xf borderId="0" fillId="0" fontId="3" numFmtId="166" xfId="0" applyFont="1" applyNumberFormat="1"/>
    <xf borderId="0" fillId="0" fontId="3" numFmtId="1" xfId="0" applyFont="1" applyNumberFormat="1"/>
    <xf borderId="0" fillId="0" fontId="14" numFmtId="169" xfId="0" applyFont="1" applyNumberFormat="1"/>
    <xf borderId="0" fillId="0" fontId="3" numFmtId="16" xfId="0" applyFont="1" applyNumberFormat="1"/>
    <xf borderId="0" fillId="0" fontId="15" numFmtId="0" xfId="0" applyAlignment="1" applyFont="1">
      <alignment readingOrder="0"/>
    </xf>
    <xf borderId="0" fillId="0" fontId="1" numFmtId="9" xfId="0" applyFont="1" applyNumberFormat="1"/>
    <xf borderId="0" fillId="0" fontId="3" numFmtId="170" xfId="0" applyFont="1" applyNumberFormat="1"/>
    <xf borderId="0" fillId="0" fontId="3" numFmtId="171" xfId="0" applyFont="1" applyNumberFormat="1"/>
    <xf borderId="0" fillId="0" fontId="3" numFmtId="17" xfId="0" applyFont="1" applyNumberFormat="1"/>
    <xf borderId="0" fillId="0" fontId="2" numFmtId="171" xfId="0" applyFont="1" applyNumberFormat="1"/>
    <xf borderId="0" fillId="0" fontId="1" numFmtId="17" xfId="0" applyFont="1" applyNumberFormat="1"/>
    <xf borderId="0" fillId="0" fontId="1" numFmtId="171" xfId="0" applyFont="1" applyNumberFormat="1"/>
    <xf borderId="0" fillId="0" fontId="3" numFmtId="9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 outlineLevelRow="1"/>
  <cols>
    <col customWidth="1" min="1" max="1" width="18.75"/>
    <col customWidth="1" min="2" max="3" width="9.88" outlineLevel="1"/>
    <col customWidth="1" min="4" max="4" width="14.63" outlineLevel="1"/>
    <col customWidth="1" min="5" max="5" width="9.88" outlineLevel="1"/>
    <col customWidth="1" min="6" max="6" width="16.63"/>
    <col customWidth="1" min="7" max="7" width="12.63" outlineLevel="1"/>
    <col customWidth="1" min="8" max="8" width="7.75" outlineLevel="1"/>
    <col customWidth="1" min="9" max="9" width="6.5" outlineLevel="1"/>
    <col customWidth="1" min="10" max="10" width="7.13" outlineLevel="1"/>
    <col customWidth="1" min="11" max="12" width="5.63" outlineLevel="1"/>
    <col customWidth="1" min="13" max="13" width="13.88"/>
    <col customWidth="1" min="14" max="14" width="8.63" outlineLevel="1"/>
    <col customWidth="1" min="15" max="15" width="7.75" outlineLevel="1"/>
    <col customWidth="1" min="16" max="16" width="6.5" outlineLevel="1"/>
    <col customWidth="1" min="17" max="17" width="7.13" outlineLevel="1"/>
    <col customWidth="1" min="18" max="19" width="5.63" outlineLevel="1"/>
    <col customWidth="1" min="20" max="20" width="8.63"/>
    <col customWidth="1" min="21" max="21" width="8.75" outlineLevel="1"/>
    <col customWidth="1" min="22" max="22" width="8.0" outlineLevel="1"/>
    <col customWidth="1" min="23" max="24" width="9.13" outlineLevel="1"/>
    <col customWidth="1" min="25" max="25" width="9.38" outlineLevel="1"/>
    <col customWidth="1" min="26" max="26" width="8.25" outlineLevel="1"/>
    <col customWidth="1" min="27" max="27" width="8.63"/>
    <col customWidth="1" min="28" max="28" width="8.63" outlineLevel="1"/>
    <col customWidth="1" min="29" max="29" width="7.75" outlineLevel="1"/>
    <col customWidth="1" min="30" max="30" width="6.5" outlineLevel="1"/>
    <col customWidth="1" min="31" max="31" width="7.13" outlineLevel="1"/>
    <col customWidth="1" min="32" max="33" width="5.63" outlineLevel="1"/>
    <col customWidth="1" min="34" max="34" width="8.63"/>
    <col customWidth="1" min="35" max="35" width="8.63" outlineLevel="1"/>
    <col customWidth="1" min="36" max="36" width="7.75" outlineLevel="1"/>
    <col customWidth="1" min="37" max="37" width="6.88" outlineLevel="1"/>
    <col customWidth="1" min="38" max="38" width="7.63" outlineLevel="1"/>
    <col customWidth="1" min="39" max="39" width="9.38" outlineLevel="1"/>
    <col customWidth="1" min="40" max="40" width="8.25" outlineLevel="1"/>
    <col customWidth="1" min="41" max="41" width="8.5"/>
    <col customWidth="1" min="42" max="47" width="8.5" outlineLevel="1"/>
  </cols>
  <sheetData>
    <row r="1" ht="14.25" customHeight="1">
      <c r="A1" s="1"/>
      <c r="B1" s="2"/>
      <c r="C1" s="2"/>
      <c r="D1" s="2"/>
      <c r="E1" s="2"/>
      <c r="F1" s="3" t="s">
        <v>0</v>
      </c>
      <c r="G1" s="4"/>
      <c r="H1" s="4"/>
      <c r="I1" s="4"/>
      <c r="J1" s="4"/>
      <c r="K1" s="4"/>
      <c r="L1" s="5"/>
      <c r="M1" s="3" t="s">
        <v>1</v>
      </c>
      <c r="N1" s="4"/>
      <c r="O1" s="4"/>
      <c r="P1" s="4"/>
      <c r="Q1" s="4"/>
      <c r="R1" s="4"/>
      <c r="S1" s="5"/>
      <c r="T1" s="6" t="s">
        <v>2</v>
      </c>
      <c r="U1" s="4"/>
      <c r="V1" s="4"/>
      <c r="W1" s="4"/>
      <c r="X1" s="4" t="s">
        <v>3</v>
      </c>
      <c r="Y1" s="4"/>
      <c r="Z1" s="5"/>
      <c r="AA1" s="3" t="s">
        <v>4</v>
      </c>
      <c r="AB1" s="4"/>
      <c r="AC1" s="4"/>
      <c r="AD1" s="4"/>
      <c r="AE1" s="4"/>
      <c r="AF1" s="4"/>
      <c r="AG1" s="5"/>
      <c r="AH1" s="6" t="s">
        <v>5</v>
      </c>
      <c r="AI1" s="4"/>
      <c r="AJ1" s="4"/>
      <c r="AK1" s="4"/>
      <c r="AL1" s="4"/>
      <c r="AM1" s="4"/>
      <c r="AN1" s="4"/>
      <c r="AO1" s="3" t="s">
        <v>6</v>
      </c>
      <c r="AP1" s="4"/>
      <c r="AQ1" s="4"/>
      <c r="AR1" s="4"/>
      <c r="AS1" s="4"/>
      <c r="AT1" s="4"/>
      <c r="AU1" s="5"/>
    </row>
    <row r="2" ht="14.25" customHeight="1">
      <c r="A2" s="7" t="s">
        <v>7</v>
      </c>
      <c r="B2" s="8"/>
      <c r="C2" s="8"/>
      <c r="D2" s="8"/>
      <c r="E2" s="8"/>
      <c r="F2" s="9">
        <f>12000/33</f>
        <v>363.6363636</v>
      </c>
      <c r="G2" s="10">
        <f>+F6*6.3</f>
        <v>209795758.2</v>
      </c>
      <c r="H2" s="7">
        <f>364*33300000</f>
        <v>12121200000</v>
      </c>
      <c r="L2" s="11"/>
      <c r="M2" s="12">
        <f>+M6*6300</f>
        <v>7561810935</v>
      </c>
      <c r="N2" s="13">
        <f>25%*10%</f>
        <v>0.025</v>
      </c>
      <c r="O2" s="14">
        <v>0.15</v>
      </c>
      <c r="P2" s="14">
        <v>0.2</v>
      </c>
      <c r="Q2" s="14">
        <v>0.35</v>
      </c>
      <c r="R2" s="14">
        <v>0.8</v>
      </c>
      <c r="S2" s="15">
        <v>1.0</v>
      </c>
      <c r="T2" s="3"/>
      <c r="U2" s="16">
        <v>500.0</v>
      </c>
      <c r="V2" s="17">
        <v>550.0</v>
      </c>
      <c r="W2" s="17">
        <v>3000.0</v>
      </c>
      <c r="X2" s="17">
        <v>6000.0</v>
      </c>
      <c r="Y2" s="17">
        <v>12000.0</v>
      </c>
      <c r="Z2" s="18">
        <v>40000.0</v>
      </c>
      <c r="AA2" s="9" t="s">
        <v>8</v>
      </c>
      <c r="AB2" s="19">
        <v>0.02</v>
      </c>
      <c r="AC2" s="20">
        <v>0.04</v>
      </c>
      <c r="AD2" s="20">
        <v>0.06</v>
      </c>
      <c r="AE2" s="20">
        <v>0.08</v>
      </c>
      <c r="AF2" s="20">
        <v>0.1</v>
      </c>
      <c r="AG2" s="21">
        <v>0.0</v>
      </c>
      <c r="AH2" s="22"/>
      <c r="AI2" s="23">
        <v>1.0</v>
      </c>
      <c r="AJ2" s="23">
        <v>1.0</v>
      </c>
      <c r="AK2" s="23">
        <v>0.9</v>
      </c>
      <c r="AL2" s="23">
        <v>0.5</v>
      </c>
      <c r="AM2" s="23">
        <v>0.4</v>
      </c>
      <c r="AN2" s="24">
        <v>0.3</v>
      </c>
      <c r="AO2" s="9" t="s">
        <v>8</v>
      </c>
      <c r="AP2" s="16">
        <f t="shared" ref="AP2:AU2" si="1">+U2</f>
        <v>500</v>
      </c>
      <c r="AQ2" s="17">
        <f t="shared" si="1"/>
        <v>550</v>
      </c>
      <c r="AR2" s="17">
        <f t="shared" si="1"/>
        <v>3000</v>
      </c>
      <c r="AS2" s="17">
        <f t="shared" si="1"/>
        <v>6000</v>
      </c>
      <c r="AT2" s="17">
        <f t="shared" si="1"/>
        <v>12000</v>
      </c>
      <c r="AU2" s="18">
        <f t="shared" si="1"/>
        <v>40000</v>
      </c>
    </row>
    <row r="3" ht="14.25" customHeight="1">
      <c r="A3" s="7" t="s">
        <v>9</v>
      </c>
      <c r="B3" s="8"/>
      <c r="C3" s="8"/>
      <c r="D3" s="8"/>
      <c r="E3" s="8"/>
      <c r="F3" s="12">
        <f>+F7*F2</f>
        <v>164800363.6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6" t="s">
        <v>15</v>
      </c>
      <c r="M3" s="9"/>
      <c r="N3" s="25" t="s">
        <v>10</v>
      </c>
      <c r="O3" s="25" t="s">
        <v>11</v>
      </c>
      <c r="P3" s="25" t="s">
        <v>12</v>
      </c>
      <c r="Q3" s="25" t="s">
        <v>13</v>
      </c>
      <c r="R3" s="25" t="s">
        <v>14</v>
      </c>
      <c r="S3" s="27" t="s">
        <v>15</v>
      </c>
      <c r="T3" s="9">
        <v>1000.0</v>
      </c>
      <c r="U3" s="25" t="s">
        <v>10</v>
      </c>
      <c r="V3" s="25" t="s">
        <v>11</v>
      </c>
      <c r="W3" s="25" t="s">
        <v>12</v>
      </c>
      <c r="X3" s="25" t="s">
        <v>13</v>
      </c>
      <c r="Y3" s="25" t="s">
        <v>14</v>
      </c>
      <c r="Z3" s="27" t="s">
        <v>15</v>
      </c>
      <c r="AA3" s="9" t="s">
        <v>16</v>
      </c>
      <c r="AB3" s="25" t="s">
        <v>10</v>
      </c>
      <c r="AC3" s="25" t="s">
        <v>11</v>
      </c>
      <c r="AD3" s="25" t="s">
        <v>12</v>
      </c>
      <c r="AE3" s="25" t="s">
        <v>13</v>
      </c>
      <c r="AF3" s="25" t="s">
        <v>14</v>
      </c>
      <c r="AG3" s="27" t="s">
        <v>15</v>
      </c>
      <c r="AH3" s="22">
        <v>1000.0</v>
      </c>
      <c r="AI3" s="25" t="s">
        <v>10</v>
      </c>
      <c r="AJ3" s="25" t="s">
        <v>11</v>
      </c>
      <c r="AK3" s="25" t="s">
        <v>12</v>
      </c>
      <c r="AL3" s="25" t="s">
        <v>13</v>
      </c>
      <c r="AM3" s="25" t="s">
        <v>14</v>
      </c>
      <c r="AN3" s="25" t="s">
        <v>15</v>
      </c>
      <c r="AO3" s="9" t="s">
        <v>16</v>
      </c>
      <c r="AP3" s="25" t="s">
        <v>10</v>
      </c>
      <c r="AQ3" s="25" t="s">
        <v>11</v>
      </c>
      <c r="AR3" s="25" t="s">
        <v>12</v>
      </c>
      <c r="AS3" s="25" t="s">
        <v>13</v>
      </c>
      <c r="AT3" s="25" t="s">
        <v>14</v>
      </c>
      <c r="AU3" s="27" t="s">
        <v>15</v>
      </c>
    </row>
    <row r="4" ht="14.25" customHeight="1">
      <c r="A4" s="28" t="s">
        <v>17</v>
      </c>
      <c r="B4" s="29"/>
      <c r="C4" s="29"/>
      <c r="D4" s="29"/>
      <c r="E4" s="29"/>
      <c r="F4" s="30" t="s">
        <v>18</v>
      </c>
      <c r="G4" s="25" t="s">
        <v>19</v>
      </c>
      <c r="H4" s="25" t="s">
        <v>20</v>
      </c>
      <c r="I4" s="25" t="s">
        <v>21</v>
      </c>
      <c r="J4" s="25" t="s">
        <v>22</v>
      </c>
      <c r="K4" s="25" t="s">
        <v>23</v>
      </c>
      <c r="L4" s="26" t="s">
        <v>24</v>
      </c>
      <c r="M4" s="30"/>
      <c r="N4" s="25" t="s">
        <v>19</v>
      </c>
      <c r="O4" s="25" t="s">
        <v>20</v>
      </c>
      <c r="P4" s="25" t="s">
        <v>21</v>
      </c>
      <c r="Q4" s="25" t="s">
        <v>22</v>
      </c>
      <c r="R4" s="25" t="s">
        <v>23</v>
      </c>
      <c r="S4" s="27" t="s">
        <v>24</v>
      </c>
      <c r="T4" s="30"/>
      <c r="U4" s="25" t="s">
        <v>19</v>
      </c>
      <c r="V4" s="25" t="s">
        <v>20</v>
      </c>
      <c r="W4" s="25" t="s">
        <v>21</v>
      </c>
      <c r="X4" s="25" t="s">
        <v>22</v>
      </c>
      <c r="Y4" s="25" t="s">
        <v>23</v>
      </c>
      <c r="Z4" s="27" t="s">
        <v>24</v>
      </c>
      <c r="AA4" s="30"/>
      <c r="AB4" s="25" t="s">
        <v>19</v>
      </c>
      <c r="AC4" s="25" t="s">
        <v>20</v>
      </c>
      <c r="AD4" s="25" t="s">
        <v>21</v>
      </c>
      <c r="AE4" s="25" t="s">
        <v>22</v>
      </c>
      <c r="AF4" s="25" t="s">
        <v>23</v>
      </c>
      <c r="AG4" s="27" t="s">
        <v>24</v>
      </c>
      <c r="AH4" s="31"/>
      <c r="AI4" s="25" t="s">
        <v>19</v>
      </c>
      <c r="AJ4" s="25" t="s">
        <v>20</v>
      </c>
      <c r="AK4" s="25" t="s">
        <v>21</v>
      </c>
      <c r="AL4" s="25" t="s">
        <v>22</v>
      </c>
      <c r="AM4" s="25" t="s">
        <v>23</v>
      </c>
      <c r="AN4" s="25" t="s">
        <v>24</v>
      </c>
      <c r="AO4" s="30"/>
      <c r="AP4" s="25" t="s">
        <v>19</v>
      </c>
      <c r="AQ4" s="25" t="s">
        <v>20</v>
      </c>
      <c r="AR4" s="25" t="s">
        <v>21</v>
      </c>
      <c r="AS4" s="25" t="s">
        <v>22</v>
      </c>
      <c r="AT4" s="25" t="s">
        <v>23</v>
      </c>
      <c r="AU4" s="27" t="s">
        <v>24</v>
      </c>
    </row>
    <row r="5" ht="14.25" customHeight="1">
      <c r="A5" s="32"/>
      <c r="B5" s="33" t="s">
        <v>25</v>
      </c>
      <c r="C5" s="33" t="s">
        <v>26</v>
      </c>
      <c r="D5" s="33" t="s">
        <v>27</v>
      </c>
      <c r="E5" s="33" t="s">
        <v>28</v>
      </c>
      <c r="F5" s="34" t="s">
        <v>29</v>
      </c>
      <c r="G5" s="35"/>
      <c r="H5" s="35"/>
      <c r="I5" s="35"/>
      <c r="J5" s="35"/>
      <c r="K5" s="35"/>
      <c r="L5" s="36"/>
      <c r="M5" s="34" t="s">
        <v>30</v>
      </c>
      <c r="N5" s="35"/>
      <c r="O5" s="35"/>
      <c r="P5" s="35"/>
      <c r="Q5" s="35"/>
      <c r="R5" s="35"/>
      <c r="S5" s="36"/>
      <c r="T5" s="37" t="s">
        <v>31</v>
      </c>
      <c r="U5" s="35"/>
      <c r="V5" s="35"/>
      <c r="W5" s="35"/>
      <c r="X5" s="35"/>
      <c r="Y5" s="35"/>
      <c r="Z5" s="36"/>
      <c r="AA5" s="34" t="s">
        <v>32</v>
      </c>
      <c r="AB5" s="35"/>
      <c r="AC5" s="35"/>
      <c r="AD5" s="35"/>
      <c r="AE5" s="35"/>
      <c r="AF5" s="35"/>
      <c r="AG5" s="36"/>
      <c r="AH5" s="38" t="s">
        <v>33</v>
      </c>
      <c r="AI5" s="39">
        <v>0.92</v>
      </c>
      <c r="AJ5" s="39">
        <v>0.92</v>
      </c>
      <c r="AK5" s="39">
        <v>0.92</v>
      </c>
      <c r="AL5" s="39">
        <v>0.92</v>
      </c>
      <c r="AM5" s="39">
        <v>0.92</v>
      </c>
      <c r="AN5" s="39">
        <v>0.92</v>
      </c>
      <c r="AO5" s="34" t="s">
        <v>34</v>
      </c>
      <c r="AP5" s="25"/>
      <c r="AQ5" s="25"/>
      <c r="AR5" s="25"/>
      <c r="AS5" s="25"/>
      <c r="AT5" s="25"/>
      <c r="AU5" s="27"/>
    </row>
    <row r="6" ht="14.25" customHeight="1">
      <c r="A6" s="40" t="s">
        <v>35</v>
      </c>
      <c r="B6" s="41"/>
      <c r="C6" s="42">
        <f t="shared" ref="C6:C39" si="3">+AH6/T6</f>
        <v>0.03293585109</v>
      </c>
      <c r="D6" s="41"/>
      <c r="E6" s="41"/>
      <c r="F6" s="43">
        <f t="shared" ref="F6:AU6" si="2">SUM(F8:F39)</f>
        <v>33300914</v>
      </c>
      <c r="G6" s="44">
        <f t="shared" si="2"/>
        <v>31313040</v>
      </c>
      <c r="H6" s="44">
        <f t="shared" si="2"/>
        <v>1103892</v>
      </c>
      <c r="I6" s="44">
        <f t="shared" si="2"/>
        <v>565202</v>
      </c>
      <c r="J6" s="44">
        <f t="shared" si="2"/>
        <v>259715</v>
      </c>
      <c r="K6" s="44">
        <f t="shared" si="2"/>
        <v>55640</v>
      </c>
      <c r="L6" s="45">
        <f t="shared" si="2"/>
        <v>3425</v>
      </c>
      <c r="M6" s="43">
        <f t="shared" si="2"/>
        <v>1200287.45</v>
      </c>
      <c r="N6" s="44">
        <f t="shared" si="2"/>
        <v>782826</v>
      </c>
      <c r="O6" s="44">
        <f t="shared" si="2"/>
        <v>165583.8</v>
      </c>
      <c r="P6" s="44">
        <f t="shared" si="2"/>
        <v>113040.4</v>
      </c>
      <c r="Q6" s="44">
        <f t="shared" si="2"/>
        <v>90900.25</v>
      </c>
      <c r="R6" s="44">
        <f t="shared" si="2"/>
        <v>44512</v>
      </c>
      <c r="S6" s="45">
        <f t="shared" si="2"/>
        <v>3425</v>
      </c>
      <c r="T6" s="43">
        <f t="shared" si="2"/>
        <v>2038150.79</v>
      </c>
      <c r="U6" s="44">
        <f t="shared" si="2"/>
        <v>391413</v>
      </c>
      <c r="V6" s="44">
        <f t="shared" si="2"/>
        <v>91071.09</v>
      </c>
      <c r="W6" s="44">
        <f t="shared" si="2"/>
        <v>339121.2</v>
      </c>
      <c r="X6" s="44">
        <f t="shared" si="2"/>
        <v>545401.5</v>
      </c>
      <c r="Y6" s="44">
        <f t="shared" si="2"/>
        <v>534144</v>
      </c>
      <c r="Z6" s="45">
        <f t="shared" si="2"/>
        <v>137000</v>
      </c>
      <c r="AA6" s="43">
        <f t="shared" si="2"/>
        <v>128864.8956</v>
      </c>
      <c r="AB6" s="44">
        <f t="shared" si="2"/>
        <v>7828.26</v>
      </c>
      <c r="AC6" s="44">
        <f t="shared" si="2"/>
        <v>3642.8436</v>
      </c>
      <c r="AD6" s="44">
        <f t="shared" si="2"/>
        <v>20347.272</v>
      </c>
      <c r="AE6" s="44">
        <f t="shared" si="2"/>
        <v>43632.12</v>
      </c>
      <c r="AF6" s="44">
        <f t="shared" si="2"/>
        <v>53414.4</v>
      </c>
      <c r="AG6" s="45">
        <f t="shared" si="2"/>
        <v>0</v>
      </c>
      <c r="AH6" s="46">
        <f t="shared" si="2"/>
        <v>67128.23093</v>
      </c>
      <c r="AI6" s="44">
        <f t="shared" si="2"/>
        <v>7201.9992</v>
      </c>
      <c r="AJ6" s="44">
        <f t="shared" si="2"/>
        <v>3351.416112</v>
      </c>
      <c r="AK6" s="44">
        <f t="shared" si="2"/>
        <v>16847.54122</v>
      </c>
      <c r="AL6" s="44">
        <f t="shared" si="2"/>
        <v>20070.7752</v>
      </c>
      <c r="AM6" s="44">
        <f t="shared" si="2"/>
        <v>19656.4992</v>
      </c>
      <c r="AN6" s="44">
        <f t="shared" si="2"/>
        <v>0</v>
      </c>
      <c r="AO6" s="43">
        <f t="shared" si="2"/>
        <v>40785.516</v>
      </c>
      <c r="AP6" s="44">
        <f t="shared" si="2"/>
        <v>15656.52</v>
      </c>
      <c r="AQ6" s="44">
        <f t="shared" si="2"/>
        <v>6623.352</v>
      </c>
      <c r="AR6" s="44">
        <f t="shared" si="2"/>
        <v>6782.424</v>
      </c>
      <c r="AS6" s="44">
        <f t="shared" si="2"/>
        <v>7272.02</v>
      </c>
      <c r="AT6" s="44">
        <f t="shared" si="2"/>
        <v>4451.2</v>
      </c>
      <c r="AU6" s="45">
        <f t="shared" si="2"/>
        <v>0</v>
      </c>
    </row>
    <row r="7" ht="14.25" customHeight="1">
      <c r="A7" s="47" t="s">
        <v>36</v>
      </c>
      <c r="B7" s="48">
        <v>1.0</v>
      </c>
      <c r="C7" s="49">
        <f t="shared" si="3"/>
        <v>0.02944228409</v>
      </c>
      <c r="D7" s="50">
        <v>45901.0</v>
      </c>
      <c r="E7" s="48">
        <v>36.0</v>
      </c>
      <c r="F7" s="51">
        <f t="shared" ref="F7:F39" si="9">SUM(G7:L7)</f>
        <v>453201</v>
      </c>
      <c r="G7" s="52">
        <v>430628.0</v>
      </c>
      <c r="H7" s="52">
        <v>11127.0</v>
      </c>
      <c r="I7" s="52">
        <v>6981.0</v>
      </c>
      <c r="J7" s="52">
        <v>3582.0</v>
      </c>
      <c r="K7" s="52">
        <v>763.0</v>
      </c>
      <c r="L7" s="53">
        <v>120.0</v>
      </c>
      <c r="M7" s="51">
        <f t="shared" ref="M7:M39" si="10">SUM(N7:S7)</f>
        <v>15815.05</v>
      </c>
      <c r="N7" s="52">
        <f t="shared" ref="N7:S7" si="4">N$2*G7</f>
        <v>10765.7</v>
      </c>
      <c r="O7" s="52">
        <f t="shared" si="4"/>
        <v>1669.05</v>
      </c>
      <c r="P7" s="52">
        <f t="shared" si="4"/>
        <v>1396.2</v>
      </c>
      <c r="Q7" s="52">
        <f t="shared" si="4"/>
        <v>1253.7</v>
      </c>
      <c r="R7" s="52">
        <f t="shared" si="4"/>
        <v>610.4</v>
      </c>
      <c r="S7" s="53">
        <f t="shared" si="4"/>
        <v>120</v>
      </c>
      <c r="T7" s="51">
        <f t="shared" ref="T7:T39" si="12">SUM(U7:Z7)</f>
        <v>30136.4275</v>
      </c>
      <c r="U7" s="52">
        <f t="shared" ref="U7:Z7" si="5">U$2*N7/$T$3</f>
        <v>5382.85</v>
      </c>
      <c r="V7" s="52">
        <f t="shared" si="5"/>
        <v>917.9775</v>
      </c>
      <c r="W7" s="52">
        <f t="shared" si="5"/>
        <v>4188.6</v>
      </c>
      <c r="X7" s="52">
        <f t="shared" si="5"/>
        <v>7522.2</v>
      </c>
      <c r="Y7" s="52">
        <f t="shared" si="5"/>
        <v>7324.8</v>
      </c>
      <c r="Z7" s="53">
        <f t="shared" si="5"/>
        <v>4800</v>
      </c>
      <c r="AA7" s="51">
        <f t="shared" ref="AA7:AA39" si="14">SUM(AB7:AG7)</f>
        <v>1729.9481</v>
      </c>
      <c r="AB7" s="52">
        <f t="shared" ref="AB7:AG7" si="6">AB$2*U7</f>
        <v>107.657</v>
      </c>
      <c r="AC7" s="52">
        <f t="shared" si="6"/>
        <v>36.7191</v>
      </c>
      <c r="AD7" s="52">
        <f t="shared" si="6"/>
        <v>251.316</v>
      </c>
      <c r="AE7" s="52">
        <f t="shared" si="6"/>
        <v>601.776</v>
      </c>
      <c r="AF7" s="52">
        <f t="shared" si="6"/>
        <v>732.48</v>
      </c>
      <c r="AG7" s="53">
        <f t="shared" si="6"/>
        <v>0</v>
      </c>
      <c r="AH7" s="54">
        <f t="shared" ref="AH7:AH39" si="16">SUM(AI7:AN7)</f>
        <v>887.28526</v>
      </c>
      <c r="AI7" s="52">
        <f t="shared" ref="AI7:AN7" si="7">+AB7*AI$2*AI$5</f>
        <v>99.04444</v>
      </c>
      <c r="AJ7" s="52">
        <f t="shared" si="7"/>
        <v>33.781572</v>
      </c>
      <c r="AK7" s="52">
        <f t="shared" si="7"/>
        <v>208.089648</v>
      </c>
      <c r="AL7" s="52">
        <f t="shared" si="7"/>
        <v>276.81696</v>
      </c>
      <c r="AM7" s="52">
        <f t="shared" si="7"/>
        <v>269.55264</v>
      </c>
      <c r="AN7" s="52">
        <f t="shared" si="7"/>
        <v>0</v>
      </c>
      <c r="AO7" s="51">
        <f t="shared" ref="AO7:AO39" si="18">SUM(AP7:AU7)</f>
        <v>527.184</v>
      </c>
      <c r="AP7" s="52">
        <f t="shared" ref="AP7:AU7" si="8">+(AB7*1000)/AP$2</f>
        <v>215.314</v>
      </c>
      <c r="AQ7" s="52">
        <f t="shared" si="8"/>
        <v>66.762</v>
      </c>
      <c r="AR7" s="52">
        <f t="shared" si="8"/>
        <v>83.772</v>
      </c>
      <c r="AS7" s="52">
        <f t="shared" si="8"/>
        <v>100.296</v>
      </c>
      <c r="AT7" s="52">
        <f t="shared" si="8"/>
        <v>61.04</v>
      </c>
      <c r="AU7" s="53">
        <f t="shared" si="8"/>
        <v>0</v>
      </c>
    </row>
    <row r="8" ht="14.25" customHeight="1" outlineLevel="1">
      <c r="A8" s="47" t="s">
        <v>37</v>
      </c>
      <c r="B8" s="48">
        <v>1.0</v>
      </c>
      <c r="C8" s="49">
        <f t="shared" si="3"/>
        <v>0.03560201367</v>
      </c>
      <c r="D8" s="50">
        <f t="shared" ref="D8:D11" si="20">+D7+60</f>
        <v>45961</v>
      </c>
      <c r="E8" s="48">
        <v>36.0</v>
      </c>
      <c r="F8" s="51">
        <f t="shared" si="9"/>
        <v>3198623</v>
      </c>
      <c r="G8" s="52">
        <v>2687300.0</v>
      </c>
      <c r="H8" s="52">
        <v>296525.0</v>
      </c>
      <c r="I8" s="52">
        <v>135947.0</v>
      </c>
      <c r="J8" s="52">
        <v>63829.0</v>
      </c>
      <c r="K8" s="52">
        <v>14372.0</v>
      </c>
      <c r="L8" s="53">
        <v>650.0</v>
      </c>
      <c r="M8" s="51">
        <f t="shared" si="10"/>
        <v>173338.4</v>
      </c>
      <c r="N8" s="52">
        <f t="shared" ref="N8:S8" si="11">N$2*G8</f>
        <v>67182.5</v>
      </c>
      <c r="O8" s="52">
        <f t="shared" si="11"/>
        <v>44478.75</v>
      </c>
      <c r="P8" s="52">
        <f t="shared" si="11"/>
        <v>27189.4</v>
      </c>
      <c r="Q8" s="52">
        <f t="shared" si="11"/>
        <v>22340.15</v>
      </c>
      <c r="R8" s="52">
        <f t="shared" si="11"/>
        <v>11497.6</v>
      </c>
      <c r="S8" s="53">
        <f t="shared" si="11"/>
        <v>650</v>
      </c>
      <c r="T8" s="51">
        <f t="shared" si="12"/>
        <v>437634.8625</v>
      </c>
      <c r="U8" s="52">
        <f t="shared" ref="U8:Z8" si="13">U$2*N8/$T$3</f>
        <v>33591.25</v>
      </c>
      <c r="V8" s="52">
        <f t="shared" si="13"/>
        <v>24463.3125</v>
      </c>
      <c r="W8" s="52">
        <f t="shared" si="13"/>
        <v>81568.2</v>
      </c>
      <c r="X8" s="52">
        <f t="shared" si="13"/>
        <v>134040.9</v>
      </c>
      <c r="Y8" s="52">
        <f t="shared" si="13"/>
        <v>137971.2</v>
      </c>
      <c r="Z8" s="53">
        <f t="shared" si="13"/>
        <v>26000</v>
      </c>
      <c r="AA8" s="51">
        <f t="shared" si="14"/>
        <v>31064.8415</v>
      </c>
      <c r="AB8" s="52">
        <f t="shared" ref="AB8:AG8" si="15">AB$2*U8</f>
        <v>671.825</v>
      </c>
      <c r="AC8" s="52">
        <f t="shared" si="15"/>
        <v>978.5325</v>
      </c>
      <c r="AD8" s="52">
        <f t="shared" si="15"/>
        <v>4894.092</v>
      </c>
      <c r="AE8" s="52">
        <f t="shared" si="15"/>
        <v>10723.272</v>
      </c>
      <c r="AF8" s="52">
        <f t="shared" si="15"/>
        <v>13797.12</v>
      </c>
      <c r="AG8" s="53">
        <f t="shared" si="15"/>
        <v>0</v>
      </c>
      <c r="AH8" s="54">
        <f t="shared" si="16"/>
        <v>15580.68236</v>
      </c>
      <c r="AI8" s="52">
        <f t="shared" ref="AI8:AN8" si="17">+AB8*AI$2*AI$5</f>
        <v>618.079</v>
      </c>
      <c r="AJ8" s="52">
        <f t="shared" si="17"/>
        <v>900.2499</v>
      </c>
      <c r="AK8" s="52">
        <f t="shared" si="17"/>
        <v>4052.308176</v>
      </c>
      <c r="AL8" s="52">
        <f t="shared" si="17"/>
        <v>4932.70512</v>
      </c>
      <c r="AM8" s="52">
        <f t="shared" si="17"/>
        <v>5077.34016</v>
      </c>
      <c r="AN8" s="52">
        <f t="shared" si="17"/>
        <v>0</v>
      </c>
      <c r="AO8" s="51">
        <f t="shared" si="18"/>
        <v>7691.136</v>
      </c>
      <c r="AP8" s="52">
        <f t="shared" ref="AP8:AU8" si="19">+(AB8*1000)/AP$2</f>
        <v>1343.65</v>
      </c>
      <c r="AQ8" s="52">
        <f t="shared" si="19"/>
        <v>1779.15</v>
      </c>
      <c r="AR8" s="52">
        <f t="shared" si="19"/>
        <v>1631.364</v>
      </c>
      <c r="AS8" s="52">
        <f t="shared" si="19"/>
        <v>1787.212</v>
      </c>
      <c r="AT8" s="52">
        <f t="shared" si="19"/>
        <v>1149.76</v>
      </c>
      <c r="AU8" s="53">
        <f t="shared" si="19"/>
        <v>0</v>
      </c>
    </row>
    <row r="9" ht="14.25" customHeight="1" outlineLevel="1">
      <c r="A9" s="47" t="s">
        <v>38</v>
      </c>
      <c r="B9" s="48">
        <v>1.0</v>
      </c>
      <c r="C9" s="49">
        <f t="shared" si="3"/>
        <v>0.0321832249</v>
      </c>
      <c r="D9" s="50">
        <f t="shared" si="20"/>
        <v>46021</v>
      </c>
      <c r="E9" s="48">
        <v>36.0</v>
      </c>
      <c r="F9" s="51">
        <f t="shared" si="9"/>
        <v>5045501</v>
      </c>
      <c r="G9" s="52">
        <v>4851670.0</v>
      </c>
      <c r="H9" s="52">
        <v>109983.0</v>
      </c>
      <c r="I9" s="52">
        <v>54353.0</v>
      </c>
      <c r="J9" s="52">
        <v>23610.0</v>
      </c>
      <c r="K9" s="52">
        <v>5685.0</v>
      </c>
      <c r="L9" s="53">
        <v>200.0</v>
      </c>
      <c r="M9" s="51">
        <f t="shared" si="10"/>
        <v>161671.3</v>
      </c>
      <c r="N9" s="52">
        <f t="shared" ref="N9:S9" si="21">N$2*G9</f>
        <v>121291.75</v>
      </c>
      <c r="O9" s="52">
        <f t="shared" si="21"/>
        <v>16497.45</v>
      </c>
      <c r="P9" s="52">
        <f t="shared" si="21"/>
        <v>10870.6</v>
      </c>
      <c r="Q9" s="52">
        <f t="shared" si="21"/>
        <v>8263.5</v>
      </c>
      <c r="R9" s="52">
        <f t="shared" si="21"/>
        <v>4548</v>
      </c>
      <c r="S9" s="53">
        <f t="shared" si="21"/>
        <v>200</v>
      </c>
      <c r="T9" s="51">
        <f t="shared" si="12"/>
        <v>214488.2725</v>
      </c>
      <c r="U9" s="52">
        <f t="shared" ref="U9:Z9" si="22">U$2*N9/$T$3</f>
        <v>60645.875</v>
      </c>
      <c r="V9" s="52">
        <f t="shared" si="22"/>
        <v>9073.5975</v>
      </c>
      <c r="W9" s="52">
        <f t="shared" si="22"/>
        <v>32611.8</v>
      </c>
      <c r="X9" s="52">
        <f t="shared" si="22"/>
        <v>49581</v>
      </c>
      <c r="Y9" s="52">
        <f t="shared" si="22"/>
        <v>54576</v>
      </c>
      <c r="Z9" s="53">
        <f t="shared" si="22"/>
        <v>8000</v>
      </c>
      <c r="AA9" s="51">
        <f t="shared" si="14"/>
        <v>12956.6494</v>
      </c>
      <c r="AB9" s="52">
        <f t="shared" ref="AB9:AG9" si="23">AB$2*U9</f>
        <v>1212.9175</v>
      </c>
      <c r="AC9" s="52">
        <f t="shared" si="23"/>
        <v>362.9439</v>
      </c>
      <c r="AD9" s="52">
        <f t="shared" si="23"/>
        <v>1956.708</v>
      </c>
      <c r="AE9" s="52">
        <f t="shared" si="23"/>
        <v>3966.48</v>
      </c>
      <c r="AF9" s="52">
        <f t="shared" si="23"/>
        <v>5457.6</v>
      </c>
      <c r="AG9" s="53">
        <f t="shared" si="23"/>
        <v>0</v>
      </c>
      <c r="AH9" s="54">
        <f t="shared" si="16"/>
        <v>6902.924312</v>
      </c>
      <c r="AI9" s="52">
        <f t="shared" ref="AI9:AN9" si="24">+AB9*AI$2*AI$5</f>
        <v>1115.8841</v>
      </c>
      <c r="AJ9" s="52">
        <f t="shared" si="24"/>
        <v>333.908388</v>
      </c>
      <c r="AK9" s="52">
        <f t="shared" si="24"/>
        <v>1620.154224</v>
      </c>
      <c r="AL9" s="52">
        <f t="shared" si="24"/>
        <v>1824.5808</v>
      </c>
      <c r="AM9" s="52">
        <f t="shared" si="24"/>
        <v>2008.3968</v>
      </c>
      <c r="AN9" s="52">
        <f t="shared" si="24"/>
        <v>0</v>
      </c>
      <c r="AO9" s="51">
        <f t="shared" si="18"/>
        <v>4853.849</v>
      </c>
      <c r="AP9" s="52">
        <f t="shared" ref="AP9:AU9" si="25">+(AB9*1000)/AP$2</f>
        <v>2425.835</v>
      </c>
      <c r="AQ9" s="52">
        <f t="shared" si="25"/>
        <v>659.898</v>
      </c>
      <c r="AR9" s="52">
        <f t="shared" si="25"/>
        <v>652.236</v>
      </c>
      <c r="AS9" s="52">
        <f t="shared" si="25"/>
        <v>661.08</v>
      </c>
      <c r="AT9" s="52">
        <f t="shared" si="25"/>
        <v>454.8</v>
      </c>
      <c r="AU9" s="53">
        <f t="shared" si="25"/>
        <v>0</v>
      </c>
    </row>
    <row r="10" ht="14.25" customHeight="1" outlineLevel="1">
      <c r="A10" s="47" t="s">
        <v>39</v>
      </c>
      <c r="B10" s="48">
        <v>1.0</v>
      </c>
      <c r="C10" s="49">
        <f t="shared" si="3"/>
        <v>0.03029525161</v>
      </c>
      <c r="D10" s="50">
        <f t="shared" si="20"/>
        <v>46081</v>
      </c>
      <c r="E10" s="48">
        <v>36.0</v>
      </c>
      <c r="F10" s="51">
        <f t="shared" si="9"/>
        <v>2306338</v>
      </c>
      <c r="G10" s="52">
        <v>2238856.0</v>
      </c>
      <c r="H10" s="52">
        <v>33288.0</v>
      </c>
      <c r="I10" s="52">
        <v>20242.0</v>
      </c>
      <c r="J10" s="52">
        <v>11003.0</v>
      </c>
      <c r="K10" s="52">
        <v>2749.0</v>
      </c>
      <c r="L10" s="53">
        <v>200.0</v>
      </c>
      <c r="M10" s="51">
        <f t="shared" si="10"/>
        <v>71263.25</v>
      </c>
      <c r="N10" s="52">
        <f t="shared" ref="N10:S10" si="26">N$2*G10</f>
        <v>55971.4</v>
      </c>
      <c r="O10" s="52">
        <f t="shared" si="26"/>
        <v>4993.2</v>
      </c>
      <c r="P10" s="52">
        <f t="shared" si="26"/>
        <v>4048.4</v>
      </c>
      <c r="Q10" s="52">
        <f t="shared" si="26"/>
        <v>3851.05</v>
      </c>
      <c r="R10" s="52">
        <f t="shared" si="26"/>
        <v>2199.2</v>
      </c>
      <c r="S10" s="53">
        <f t="shared" si="26"/>
        <v>200</v>
      </c>
      <c r="T10" s="51">
        <f t="shared" si="12"/>
        <v>100373.86</v>
      </c>
      <c r="U10" s="52">
        <f t="shared" ref="U10:Z10" si="27">U$2*N10/$T$3</f>
        <v>27985.7</v>
      </c>
      <c r="V10" s="52">
        <f t="shared" si="27"/>
        <v>2746.26</v>
      </c>
      <c r="W10" s="52">
        <f t="shared" si="27"/>
        <v>12145.2</v>
      </c>
      <c r="X10" s="52">
        <f t="shared" si="27"/>
        <v>23106.3</v>
      </c>
      <c r="Y10" s="52">
        <f t="shared" si="27"/>
        <v>26390.4</v>
      </c>
      <c r="Z10" s="53">
        <f t="shared" si="27"/>
        <v>8000</v>
      </c>
      <c r="AA10" s="51">
        <f t="shared" si="14"/>
        <v>5885.8204</v>
      </c>
      <c r="AB10" s="52">
        <f t="shared" ref="AB10:AG10" si="28">AB$2*U10</f>
        <v>559.714</v>
      </c>
      <c r="AC10" s="52">
        <f t="shared" si="28"/>
        <v>109.8504</v>
      </c>
      <c r="AD10" s="52">
        <f t="shared" si="28"/>
        <v>728.712</v>
      </c>
      <c r="AE10" s="52">
        <f t="shared" si="28"/>
        <v>1848.504</v>
      </c>
      <c r="AF10" s="52">
        <f t="shared" si="28"/>
        <v>2639.04</v>
      </c>
      <c r="AG10" s="53">
        <f t="shared" si="28"/>
        <v>0</v>
      </c>
      <c r="AH10" s="54">
        <f t="shared" si="16"/>
        <v>3040.851344</v>
      </c>
      <c r="AI10" s="52">
        <f t="shared" ref="AI10:AN10" si="29">+AB10*AI$2*AI$5</f>
        <v>514.93688</v>
      </c>
      <c r="AJ10" s="52">
        <f t="shared" si="29"/>
        <v>101.062368</v>
      </c>
      <c r="AK10" s="52">
        <f t="shared" si="29"/>
        <v>603.373536</v>
      </c>
      <c r="AL10" s="52">
        <f t="shared" si="29"/>
        <v>850.31184</v>
      </c>
      <c r="AM10" s="52">
        <f t="shared" si="29"/>
        <v>971.16672</v>
      </c>
      <c r="AN10" s="52">
        <f t="shared" si="29"/>
        <v>0</v>
      </c>
      <c r="AO10" s="51">
        <f t="shared" si="18"/>
        <v>2090.064</v>
      </c>
      <c r="AP10" s="52">
        <f t="shared" ref="AP10:AU10" si="30">+(AB10*1000)/AP$2</f>
        <v>1119.428</v>
      </c>
      <c r="AQ10" s="52">
        <f t="shared" si="30"/>
        <v>199.728</v>
      </c>
      <c r="AR10" s="52">
        <f t="shared" si="30"/>
        <v>242.904</v>
      </c>
      <c r="AS10" s="52">
        <f t="shared" si="30"/>
        <v>308.084</v>
      </c>
      <c r="AT10" s="52">
        <f t="shared" si="30"/>
        <v>219.92</v>
      </c>
      <c r="AU10" s="53">
        <f t="shared" si="30"/>
        <v>0</v>
      </c>
    </row>
    <row r="11" ht="14.25" customHeight="1" outlineLevel="1">
      <c r="A11" s="47" t="s">
        <v>40</v>
      </c>
      <c r="B11" s="48">
        <v>1.0</v>
      </c>
      <c r="C11" s="49">
        <f t="shared" si="3"/>
        <v>0.02820747449</v>
      </c>
      <c r="D11" s="50">
        <f t="shared" si="20"/>
        <v>46141</v>
      </c>
      <c r="E11" s="48">
        <v>36.0</v>
      </c>
      <c r="F11" s="51">
        <f t="shared" si="9"/>
        <v>866157</v>
      </c>
      <c r="G11" s="52">
        <v>821951.0</v>
      </c>
      <c r="H11" s="52">
        <v>22650.0</v>
      </c>
      <c r="I11" s="52">
        <v>12996.0</v>
      </c>
      <c r="J11" s="52">
        <v>6604.0</v>
      </c>
      <c r="K11" s="52">
        <v>1656.0</v>
      </c>
      <c r="L11" s="53">
        <v>300.0</v>
      </c>
      <c r="M11" s="51">
        <f t="shared" si="10"/>
        <v>30481.675</v>
      </c>
      <c r="N11" s="52">
        <f t="shared" ref="N11:S11" si="31">N$2*G11</f>
        <v>20548.775</v>
      </c>
      <c r="O11" s="52">
        <f t="shared" si="31"/>
        <v>3397.5</v>
      </c>
      <c r="P11" s="52">
        <f t="shared" si="31"/>
        <v>2599.2</v>
      </c>
      <c r="Q11" s="52">
        <f t="shared" si="31"/>
        <v>2311.4</v>
      </c>
      <c r="R11" s="52">
        <f t="shared" si="31"/>
        <v>1324.8</v>
      </c>
      <c r="S11" s="53">
        <f t="shared" si="31"/>
        <v>300</v>
      </c>
      <c r="T11" s="51">
        <f t="shared" si="12"/>
        <v>61706.6125</v>
      </c>
      <c r="U11" s="52">
        <f t="shared" ref="U11:Z11" si="32">U$2*N11/$T$3</f>
        <v>10274.3875</v>
      </c>
      <c r="V11" s="52">
        <f t="shared" si="32"/>
        <v>1868.625</v>
      </c>
      <c r="W11" s="52">
        <f t="shared" si="32"/>
        <v>7797.6</v>
      </c>
      <c r="X11" s="52">
        <f t="shared" si="32"/>
        <v>13868.4</v>
      </c>
      <c r="Y11" s="52">
        <f t="shared" si="32"/>
        <v>15897.6</v>
      </c>
      <c r="Z11" s="53">
        <f t="shared" si="32"/>
        <v>12000</v>
      </c>
      <c r="AA11" s="51">
        <f t="shared" si="14"/>
        <v>3447.32075</v>
      </c>
      <c r="AB11" s="52">
        <f t="shared" ref="AB11:AG11" si="33">AB$2*U11</f>
        <v>205.48775</v>
      </c>
      <c r="AC11" s="52">
        <f t="shared" si="33"/>
        <v>74.745</v>
      </c>
      <c r="AD11" s="52">
        <f t="shared" si="33"/>
        <v>467.856</v>
      </c>
      <c r="AE11" s="52">
        <f t="shared" si="33"/>
        <v>1109.472</v>
      </c>
      <c r="AF11" s="52">
        <f t="shared" si="33"/>
        <v>1589.76</v>
      </c>
      <c r="AG11" s="53">
        <f t="shared" si="33"/>
        <v>0</v>
      </c>
      <c r="AH11" s="54">
        <f t="shared" si="16"/>
        <v>1740.587698</v>
      </c>
      <c r="AI11" s="52">
        <f t="shared" ref="AI11:AN11" si="34">+AB11*AI$2*AI$5</f>
        <v>189.04873</v>
      </c>
      <c r="AJ11" s="52">
        <f t="shared" si="34"/>
        <v>68.7654</v>
      </c>
      <c r="AK11" s="52">
        <f t="shared" si="34"/>
        <v>387.384768</v>
      </c>
      <c r="AL11" s="52">
        <f t="shared" si="34"/>
        <v>510.35712</v>
      </c>
      <c r="AM11" s="52">
        <f t="shared" si="34"/>
        <v>585.03168</v>
      </c>
      <c r="AN11" s="52">
        <f t="shared" si="34"/>
        <v>0</v>
      </c>
      <c r="AO11" s="51">
        <f t="shared" si="18"/>
        <v>1020.2195</v>
      </c>
      <c r="AP11" s="52">
        <f t="shared" ref="AP11:AU11" si="35">+(AB11*1000)/AP$2</f>
        <v>410.9755</v>
      </c>
      <c r="AQ11" s="52">
        <f t="shared" si="35"/>
        <v>135.9</v>
      </c>
      <c r="AR11" s="52">
        <f t="shared" si="35"/>
        <v>155.952</v>
      </c>
      <c r="AS11" s="52">
        <f t="shared" si="35"/>
        <v>184.912</v>
      </c>
      <c r="AT11" s="52">
        <f t="shared" si="35"/>
        <v>132.48</v>
      </c>
      <c r="AU11" s="53">
        <f t="shared" si="35"/>
        <v>0</v>
      </c>
    </row>
    <row r="12" ht="14.25" customHeight="1" outlineLevel="1">
      <c r="A12" s="47" t="s">
        <v>41</v>
      </c>
      <c r="B12" s="55">
        <v>2.0</v>
      </c>
      <c r="C12" s="56">
        <f t="shared" si="3"/>
        <v>0.03299827273</v>
      </c>
      <c r="D12" s="57">
        <f>+D11+30</f>
        <v>46171</v>
      </c>
      <c r="E12" s="55">
        <v>36.0</v>
      </c>
      <c r="F12" s="51">
        <f t="shared" si="9"/>
        <v>4469133</v>
      </c>
      <c r="G12" s="58">
        <v>4231795.0</v>
      </c>
      <c r="H12" s="58">
        <v>145319.0</v>
      </c>
      <c r="I12" s="58">
        <v>60864.0</v>
      </c>
      <c r="J12" s="58">
        <v>26245.0</v>
      </c>
      <c r="K12" s="58">
        <v>4710.0</v>
      </c>
      <c r="L12" s="59">
        <v>200.0</v>
      </c>
      <c r="M12" s="60">
        <f t="shared" si="10"/>
        <v>152919.275</v>
      </c>
      <c r="N12" s="58">
        <f t="shared" ref="N12:S12" si="36">N$2*G12</f>
        <v>105794.875</v>
      </c>
      <c r="O12" s="58">
        <f t="shared" si="36"/>
        <v>21797.85</v>
      </c>
      <c r="P12" s="58">
        <f t="shared" si="36"/>
        <v>12172.8</v>
      </c>
      <c r="Q12" s="58">
        <f t="shared" si="36"/>
        <v>9185.75</v>
      </c>
      <c r="R12" s="58">
        <f t="shared" si="36"/>
        <v>3768</v>
      </c>
      <c r="S12" s="59">
        <f t="shared" si="36"/>
        <v>200</v>
      </c>
      <c r="T12" s="60">
        <f t="shared" si="12"/>
        <v>209735.155</v>
      </c>
      <c r="U12" s="58">
        <f t="shared" ref="U12:Z12" si="37">U$2*N12/$T$3</f>
        <v>52897.4375</v>
      </c>
      <c r="V12" s="58">
        <f t="shared" si="37"/>
        <v>11988.8175</v>
      </c>
      <c r="W12" s="58">
        <f t="shared" si="37"/>
        <v>36518.4</v>
      </c>
      <c r="X12" s="58">
        <f t="shared" si="37"/>
        <v>55114.5</v>
      </c>
      <c r="Y12" s="58">
        <f t="shared" si="37"/>
        <v>45216</v>
      </c>
      <c r="Z12" s="59">
        <f t="shared" si="37"/>
        <v>8000</v>
      </c>
      <c r="AA12" s="60">
        <f t="shared" si="14"/>
        <v>12659.36545</v>
      </c>
      <c r="AB12" s="58">
        <f t="shared" ref="AB12:AG12" si="38">AB$2*U12</f>
        <v>1057.94875</v>
      </c>
      <c r="AC12" s="58">
        <f t="shared" si="38"/>
        <v>479.5527</v>
      </c>
      <c r="AD12" s="58">
        <f t="shared" si="38"/>
        <v>2191.104</v>
      </c>
      <c r="AE12" s="58">
        <f t="shared" si="38"/>
        <v>4409.16</v>
      </c>
      <c r="AF12" s="58">
        <f t="shared" si="38"/>
        <v>4521.6</v>
      </c>
      <c r="AG12" s="59">
        <f t="shared" si="38"/>
        <v>0</v>
      </c>
      <c r="AH12" s="61">
        <f t="shared" si="16"/>
        <v>6920.897846</v>
      </c>
      <c r="AI12" s="58">
        <f t="shared" ref="AI12:AN12" si="39">+AB12*AI$2*AI$5</f>
        <v>973.31285</v>
      </c>
      <c r="AJ12" s="58">
        <f t="shared" si="39"/>
        <v>441.188484</v>
      </c>
      <c r="AK12" s="58">
        <f t="shared" si="39"/>
        <v>1814.234112</v>
      </c>
      <c r="AL12" s="58">
        <f t="shared" si="39"/>
        <v>2028.2136</v>
      </c>
      <c r="AM12" s="58">
        <f t="shared" si="39"/>
        <v>1663.9488</v>
      </c>
      <c r="AN12" s="58">
        <f t="shared" si="39"/>
        <v>0</v>
      </c>
      <c r="AO12" s="60">
        <f t="shared" si="18"/>
        <v>4829.8395</v>
      </c>
      <c r="AP12" s="52">
        <f t="shared" ref="AP12:AU12" si="40">+(AB12*1000)/AP$2</f>
        <v>2115.8975</v>
      </c>
      <c r="AQ12" s="52">
        <f t="shared" si="40"/>
        <v>871.914</v>
      </c>
      <c r="AR12" s="52">
        <f t="shared" si="40"/>
        <v>730.368</v>
      </c>
      <c r="AS12" s="52">
        <f t="shared" si="40"/>
        <v>734.86</v>
      </c>
      <c r="AT12" s="52">
        <f t="shared" si="40"/>
        <v>376.8</v>
      </c>
      <c r="AU12" s="53">
        <f t="shared" si="40"/>
        <v>0</v>
      </c>
    </row>
    <row r="13" ht="14.25" customHeight="1" outlineLevel="1">
      <c r="A13" s="47" t="s">
        <v>42</v>
      </c>
      <c r="B13" s="55">
        <v>2.0</v>
      </c>
      <c r="C13" s="56">
        <f t="shared" si="3"/>
        <v>0.03375234499</v>
      </c>
      <c r="D13" s="57">
        <f t="shared" ref="D13:D39" si="46">+D12+10</f>
        <v>46181</v>
      </c>
      <c r="E13" s="55">
        <v>36.0</v>
      </c>
      <c r="F13" s="51">
        <f t="shared" si="9"/>
        <v>3472035</v>
      </c>
      <c r="G13" s="58">
        <v>3290302.0</v>
      </c>
      <c r="H13" s="58">
        <v>99338.0</v>
      </c>
      <c r="I13" s="58">
        <v>55208.0</v>
      </c>
      <c r="J13" s="58">
        <v>22298.0</v>
      </c>
      <c r="K13" s="58">
        <v>4739.0</v>
      </c>
      <c r="L13" s="59">
        <v>150.0</v>
      </c>
      <c r="M13" s="60">
        <f t="shared" si="10"/>
        <v>119945.35</v>
      </c>
      <c r="N13" s="58">
        <f t="shared" ref="N13:S13" si="41">N$2*G13</f>
        <v>82257.55</v>
      </c>
      <c r="O13" s="58">
        <f t="shared" si="41"/>
        <v>14900.7</v>
      </c>
      <c r="P13" s="58">
        <f t="shared" si="41"/>
        <v>11041.6</v>
      </c>
      <c r="Q13" s="58">
        <f t="shared" si="41"/>
        <v>7804.3</v>
      </c>
      <c r="R13" s="58">
        <f t="shared" si="41"/>
        <v>3791.2</v>
      </c>
      <c r="S13" s="59">
        <f t="shared" si="41"/>
        <v>150</v>
      </c>
      <c r="T13" s="60">
        <f t="shared" si="12"/>
        <v>180769.16</v>
      </c>
      <c r="U13" s="58">
        <f t="shared" ref="U13:Z13" si="42">U$2*N13/$T$3</f>
        <v>41128.775</v>
      </c>
      <c r="V13" s="58">
        <f t="shared" si="42"/>
        <v>8195.385</v>
      </c>
      <c r="W13" s="58">
        <f t="shared" si="42"/>
        <v>33124.8</v>
      </c>
      <c r="X13" s="58">
        <f t="shared" si="42"/>
        <v>46825.8</v>
      </c>
      <c r="Y13" s="58">
        <f t="shared" si="42"/>
        <v>45494.4</v>
      </c>
      <c r="Z13" s="59">
        <f t="shared" si="42"/>
        <v>6000</v>
      </c>
      <c r="AA13" s="60">
        <f t="shared" si="14"/>
        <v>11433.3829</v>
      </c>
      <c r="AB13" s="58">
        <f t="shared" ref="AB13:AG13" si="43">AB$2*U13</f>
        <v>822.5755</v>
      </c>
      <c r="AC13" s="58">
        <f t="shared" si="43"/>
        <v>327.8154</v>
      </c>
      <c r="AD13" s="58">
        <f t="shared" si="43"/>
        <v>1987.488</v>
      </c>
      <c r="AE13" s="58">
        <f t="shared" si="43"/>
        <v>3746.064</v>
      </c>
      <c r="AF13" s="58">
        <f t="shared" si="43"/>
        <v>4549.44</v>
      </c>
      <c r="AG13" s="59">
        <f t="shared" si="43"/>
        <v>0</v>
      </c>
      <c r="AH13" s="61">
        <f t="shared" si="16"/>
        <v>6101.383052</v>
      </c>
      <c r="AI13" s="58">
        <f t="shared" ref="AI13:AN13" si="44">+AB13*AI$2*AI$5</f>
        <v>756.76946</v>
      </c>
      <c r="AJ13" s="58">
        <f t="shared" si="44"/>
        <v>301.590168</v>
      </c>
      <c r="AK13" s="58">
        <f t="shared" si="44"/>
        <v>1645.640064</v>
      </c>
      <c r="AL13" s="58">
        <f t="shared" si="44"/>
        <v>1723.18944</v>
      </c>
      <c r="AM13" s="58">
        <f t="shared" si="44"/>
        <v>1674.19392</v>
      </c>
      <c r="AN13" s="58">
        <f t="shared" si="44"/>
        <v>0</v>
      </c>
      <c r="AO13" s="60">
        <f t="shared" si="18"/>
        <v>3907.139</v>
      </c>
      <c r="AP13" s="52">
        <f t="shared" ref="AP13:AU13" si="45">+(AB13*1000)/AP$2</f>
        <v>1645.151</v>
      </c>
      <c r="AQ13" s="52">
        <f t="shared" si="45"/>
        <v>596.028</v>
      </c>
      <c r="AR13" s="52">
        <f t="shared" si="45"/>
        <v>662.496</v>
      </c>
      <c r="AS13" s="52">
        <f t="shared" si="45"/>
        <v>624.344</v>
      </c>
      <c r="AT13" s="52">
        <f t="shared" si="45"/>
        <v>379.12</v>
      </c>
      <c r="AU13" s="53">
        <f t="shared" si="45"/>
        <v>0</v>
      </c>
    </row>
    <row r="14" ht="14.25" customHeight="1" outlineLevel="1">
      <c r="A14" s="47" t="s">
        <v>43</v>
      </c>
      <c r="B14" s="55">
        <v>2.0</v>
      </c>
      <c r="C14" s="56">
        <f t="shared" si="3"/>
        <v>0.03279472967</v>
      </c>
      <c r="D14" s="57">
        <f t="shared" si="46"/>
        <v>46191</v>
      </c>
      <c r="E14" s="55">
        <v>36.0</v>
      </c>
      <c r="F14" s="51">
        <f t="shared" si="9"/>
        <v>2746509</v>
      </c>
      <c r="G14" s="58">
        <v>2633384.0</v>
      </c>
      <c r="H14" s="58">
        <v>59921.0</v>
      </c>
      <c r="I14" s="58">
        <v>33816.0</v>
      </c>
      <c r="J14" s="58">
        <v>15713.0</v>
      </c>
      <c r="K14" s="58">
        <v>3555.0</v>
      </c>
      <c r="L14" s="59">
        <v>120.0</v>
      </c>
      <c r="M14" s="60">
        <f t="shared" si="10"/>
        <v>90049.5</v>
      </c>
      <c r="N14" s="58">
        <f t="shared" ref="N14:S14" si="47">N$2*G14</f>
        <v>65834.6</v>
      </c>
      <c r="O14" s="58">
        <f t="shared" si="47"/>
        <v>8988.15</v>
      </c>
      <c r="P14" s="58">
        <f t="shared" si="47"/>
        <v>6763.2</v>
      </c>
      <c r="Q14" s="58">
        <f t="shared" si="47"/>
        <v>5499.55</v>
      </c>
      <c r="R14" s="58">
        <f t="shared" si="47"/>
        <v>2844</v>
      </c>
      <c r="S14" s="59">
        <f t="shared" si="47"/>
        <v>120</v>
      </c>
      <c r="T14" s="60">
        <f t="shared" si="12"/>
        <v>130075.6825</v>
      </c>
      <c r="U14" s="58">
        <f t="shared" ref="U14:Z14" si="48">U$2*N14/$T$3</f>
        <v>32917.3</v>
      </c>
      <c r="V14" s="58">
        <f t="shared" si="48"/>
        <v>4943.4825</v>
      </c>
      <c r="W14" s="58">
        <f t="shared" si="48"/>
        <v>20289.6</v>
      </c>
      <c r="X14" s="58">
        <f t="shared" si="48"/>
        <v>32997.3</v>
      </c>
      <c r="Y14" s="58">
        <f t="shared" si="48"/>
        <v>34128</v>
      </c>
      <c r="Z14" s="59">
        <f t="shared" si="48"/>
        <v>4800</v>
      </c>
      <c r="AA14" s="60">
        <f t="shared" si="14"/>
        <v>8126.0453</v>
      </c>
      <c r="AB14" s="58">
        <f t="shared" ref="AB14:AG14" si="49">AB$2*U14</f>
        <v>658.346</v>
      </c>
      <c r="AC14" s="58">
        <f t="shared" si="49"/>
        <v>197.7393</v>
      </c>
      <c r="AD14" s="58">
        <f t="shared" si="49"/>
        <v>1217.376</v>
      </c>
      <c r="AE14" s="58">
        <f t="shared" si="49"/>
        <v>2639.784</v>
      </c>
      <c r="AF14" s="58">
        <f t="shared" si="49"/>
        <v>3412.8</v>
      </c>
      <c r="AG14" s="59">
        <f t="shared" si="49"/>
        <v>0</v>
      </c>
      <c r="AH14" s="61">
        <f t="shared" si="16"/>
        <v>4265.796844</v>
      </c>
      <c r="AI14" s="58">
        <f t="shared" ref="AI14:AN14" si="50">+AB14*AI$2*AI$5</f>
        <v>605.67832</v>
      </c>
      <c r="AJ14" s="58">
        <f t="shared" si="50"/>
        <v>181.920156</v>
      </c>
      <c r="AK14" s="58">
        <f t="shared" si="50"/>
        <v>1007.987328</v>
      </c>
      <c r="AL14" s="58">
        <f t="shared" si="50"/>
        <v>1214.30064</v>
      </c>
      <c r="AM14" s="58">
        <f t="shared" si="50"/>
        <v>1255.9104</v>
      </c>
      <c r="AN14" s="58">
        <f t="shared" si="50"/>
        <v>0</v>
      </c>
      <c r="AO14" s="60">
        <f t="shared" si="18"/>
        <v>2806.374</v>
      </c>
      <c r="AP14" s="52">
        <f t="shared" ref="AP14:AU14" si="51">+(AB14*1000)/AP$2</f>
        <v>1316.692</v>
      </c>
      <c r="AQ14" s="52">
        <f t="shared" si="51"/>
        <v>359.526</v>
      </c>
      <c r="AR14" s="52">
        <f t="shared" si="51"/>
        <v>405.792</v>
      </c>
      <c r="AS14" s="52">
        <f t="shared" si="51"/>
        <v>439.964</v>
      </c>
      <c r="AT14" s="52">
        <f t="shared" si="51"/>
        <v>284.4</v>
      </c>
      <c r="AU14" s="53">
        <f t="shared" si="51"/>
        <v>0</v>
      </c>
    </row>
    <row r="15" ht="14.25" customHeight="1" outlineLevel="1">
      <c r="A15" s="47" t="s">
        <v>44</v>
      </c>
      <c r="B15" s="55">
        <v>2.0</v>
      </c>
      <c r="C15" s="56">
        <f t="shared" si="3"/>
        <v>0.03386424989</v>
      </c>
      <c r="D15" s="57">
        <f t="shared" si="46"/>
        <v>46201</v>
      </c>
      <c r="E15" s="55">
        <v>36.0</v>
      </c>
      <c r="F15" s="51">
        <f t="shared" si="9"/>
        <v>162312</v>
      </c>
      <c r="G15" s="58">
        <v>107552.0</v>
      </c>
      <c r="H15" s="58">
        <v>28816.0</v>
      </c>
      <c r="I15" s="58">
        <v>16214.0</v>
      </c>
      <c r="J15" s="58">
        <v>8139.0</v>
      </c>
      <c r="K15" s="58">
        <v>1421.0</v>
      </c>
      <c r="L15" s="59">
        <v>170.0</v>
      </c>
      <c r="M15" s="60">
        <f t="shared" si="10"/>
        <v>14409.45</v>
      </c>
      <c r="N15" s="58">
        <f t="shared" ref="N15:S15" si="52">N$2*G15</f>
        <v>2688.8</v>
      </c>
      <c r="O15" s="58">
        <f t="shared" si="52"/>
        <v>4322.4</v>
      </c>
      <c r="P15" s="58">
        <f t="shared" si="52"/>
        <v>3242.8</v>
      </c>
      <c r="Q15" s="58">
        <f t="shared" si="52"/>
        <v>2848.65</v>
      </c>
      <c r="R15" s="58">
        <f t="shared" si="52"/>
        <v>1136.8</v>
      </c>
      <c r="S15" s="59">
        <f t="shared" si="52"/>
        <v>170</v>
      </c>
      <c r="T15" s="60">
        <f t="shared" si="12"/>
        <v>50983.62</v>
      </c>
      <c r="U15" s="58">
        <f t="shared" ref="U15:Z15" si="53">U$2*N15/$T$3</f>
        <v>1344.4</v>
      </c>
      <c r="V15" s="58">
        <f t="shared" si="53"/>
        <v>2377.32</v>
      </c>
      <c r="W15" s="58">
        <f t="shared" si="53"/>
        <v>9728.4</v>
      </c>
      <c r="X15" s="58">
        <f t="shared" si="53"/>
        <v>17091.9</v>
      </c>
      <c r="Y15" s="58">
        <f t="shared" si="53"/>
        <v>13641.6</v>
      </c>
      <c r="Z15" s="59">
        <f t="shared" si="53"/>
        <v>6800</v>
      </c>
      <c r="AA15" s="60">
        <f t="shared" si="14"/>
        <v>3437.1968</v>
      </c>
      <c r="AB15" s="58">
        <f t="shared" ref="AB15:AG15" si="54">AB$2*U15</f>
        <v>26.888</v>
      </c>
      <c r="AC15" s="58">
        <f t="shared" si="54"/>
        <v>95.0928</v>
      </c>
      <c r="AD15" s="58">
        <f t="shared" si="54"/>
        <v>583.704</v>
      </c>
      <c r="AE15" s="58">
        <f t="shared" si="54"/>
        <v>1367.352</v>
      </c>
      <c r="AF15" s="58">
        <f t="shared" si="54"/>
        <v>1364.16</v>
      </c>
      <c r="AG15" s="59">
        <f t="shared" si="54"/>
        <v>0</v>
      </c>
      <c r="AH15" s="61">
        <f t="shared" si="16"/>
        <v>1726.522048</v>
      </c>
      <c r="AI15" s="58">
        <f t="shared" ref="AI15:AN15" si="55">+AB15*AI$2*AI$5</f>
        <v>24.73696</v>
      </c>
      <c r="AJ15" s="58">
        <f t="shared" si="55"/>
        <v>87.485376</v>
      </c>
      <c r="AK15" s="58">
        <f t="shared" si="55"/>
        <v>483.306912</v>
      </c>
      <c r="AL15" s="58">
        <f t="shared" si="55"/>
        <v>628.98192</v>
      </c>
      <c r="AM15" s="58">
        <f t="shared" si="55"/>
        <v>502.01088</v>
      </c>
      <c r="AN15" s="58">
        <f t="shared" si="55"/>
        <v>0</v>
      </c>
      <c r="AO15" s="60">
        <f t="shared" si="18"/>
        <v>762.812</v>
      </c>
      <c r="AP15" s="52">
        <f t="shared" ref="AP15:AU15" si="56">+(AB15*1000)/AP$2</f>
        <v>53.776</v>
      </c>
      <c r="AQ15" s="52">
        <f t="shared" si="56"/>
        <v>172.896</v>
      </c>
      <c r="AR15" s="52">
        <f t="shared" si="56"/>
        <v>194.568</v>
      </c>
      <c r="AS15" s="52">
        <f t="shared" si="56"/>
        <v>227.892</v>
      </c>
      <c r="AT15" s="52">
        <f t="shared" si="56"/>
        <v>113.68</v>
      </c>
      <c r="AU15" s="53">
        <f t="shared" si="56"/>
        <v>0</v>
      </c>
    </row>
    <row r="16" ht="14.25" customHeight="1" outlineLevel="1">
      <c r="A16" s="47" t="s">
        <v>45</v>
      </c>
      <c r="B16" s="55">
        <v>2.0</v>
      </c>
      <c r="C16" s="56">
        <f t="shared" si="3"/>
        <v>0.03302931945</v>
      </c>
      <c r="D16" s="57">
        <f t="shared" si="46"/>
        <v>46211</v>
      </c>
      <c r="E16" s="55">
        <v>36.0</v>
      </c>
      <c r="F16" s="51">
        <f t="shared" si="9"/>
        <v>581136</v>
      </c>
      <c r="G16" s="58">
        <v>532211.0</v>
      </c>
      <c r="H16" s="58">
        <v>26694.0</v>
      </c>
      <c r="I16" s="58">
        <v>14110.0</v>
      </c>
      <c r="J16" s="58">
        <v>6472.0</v>
      </c>
      <c r="K16" s="58">
        <v>1529.0</v>
      </c>
      <c r="L16" s="59">
        <v>120.0</v>
      </c>
      <c r="M16" s="60">
        <f t="shared" si="10"/>
        <v>23739.775</v>
      </c>
      <c r="N16" s="58">
        <f t="shared" ref="N16:S16" si="57">N$2*G16</f>
        <v>13305.275</v>
      </c>
      <c r="O16" s="58">
        <f t="shared" si="57"/>
        <v>4004.1</v>
      </c>
      <c r="P16" s="58">
        <f t="shared" si="57"/>
        <v>2822</v>
      </c>
      <c r="Q16" s="58">
        <f t="shared" si="57"/>
        <v>2265.2</v>
      </c>
      <c r="R16" s="58">
        <f t="shared" si="57"/>
        <v>1223.2</v>
      </c>
      <c r="S16" s="59">
        <f t="shared" si="57"/>
        <v>120</v>
      </c>
      <c r="T16" s="60">
        <f t="shared" si="12"/>
        <v>50390.4925</v>
      </c>
      <c r="U16" s="58">
        <f t="shared" ref="U16:Z16" si="58">U$2*N16/$T$3</f>
        <v>6652.6375</v>
      </c>
      <c r="V16" s="58">
        <f t="shared" si="58"/>
        <v>2202.255</v>
      </c>
      <c r="W16" s="58">
        <f t="shared" si="58"/>
        <v>8466</v>
      </c>
      <c r="X16" s="58">
        <f t="shared" si="58"/>
        <v>13591.2</v>
      </c>
      <c r="Y16" s="58">
        <f t="shared" si="58"/>
        <v>14678.4</v>
      </c>
      <c r="Z16" s="59">
        <f t="shared" si="58"/>
        <v>4800</v>
      </c>
      <c r="AA16" s="60">
        <f t="shared" si="14"/>
        <v>3284.23895</v>
      </c>
      <c r="AB16" s="58">
        <f t="shared" ref="AB16:AG16" si="59">AB$2*U16</f>
        <v>133.05275</v>
      </c>
      <c r="AC16" s="58">
        <f t="shared" si="59"/>
        <v>88.0902</v>
      </c>
      <c r="AD16" s="58">
        <f t="shared" si="59"/>
        <v>507.96</v>
      </c>
      <c r="AE16" s="58">
        <f t="shared" si="59"/>
        <v>1087.296</v>
      </c>
      <c r="AF16" s="58">
        <f t="shared" si="59"/>
        <v>1467.84</v>
      </c>
      <c r="AG16" s="59">
        <f t="shared" si="59"/>
        <v>0</v>
      </c>
      <c r="AH16" s="61">
        <f t="shared" si="16"/>
        <v>1664.363674</v>
      </c>
      <c r="AI16" s="58">
        <f t="shared" ref="AI16:AN16" si="60">+AB16*AI$2*AI$5</f>
        <v>122.40853</v>
      </c>
      <c r="AJ16" s="58">
        <f t="shared" si="60"/>
        <v>81.042984</v>
      </c>
      <c r="AK16" s="58">
        <f t="shared" si="60"/>
        <v>420.59088</v>
      </c>
      <c r="AL16" s="58">
        <f t="shared" si="60"/>
        <v>500.15616</v>
      </c>
      <c r="AM16" s="58">
        <f t="shared" si="60"/>
        <v>540.16512</v>
      </c>
      <c r="AN16" s="58">
        <f t="shared" si="60"/>
        <v>0</v>
      </c>
      <c r="AO16" s="60">
        <f t="shared" si="18"/>
        <v>899.1255</v>
      </c>
      <c r="AP16" s="52">
        <f t="shared" ref="AP16:AU16" si="61">+(AB16*1000)/AP$2</f>
        <v>266.1055</v>
      </c>
      <c r="AQ16" s="52">
        <f t="shared" si="61"/>
        <v>160.164</v>
      </c>
      <c r="AR16" s="52">
        <f t="shared" si="61"/>
        <v>169.32</v>
      </c>
      <c r="AS16" s="52">
        <f t="shared" si="61"/>
        <v>181.216</v>
      </c>
      <c r="AT16" s="52">
        <f t="shared" si="61"/>
        <v>122.32</v>
      </c>
      <c r="AU16" s="53">
        <f t="shared" si="61"/>
        <v>0</v>
      </c>
    </row>
    <row r="17" ht="14.25" customHeight="1" outlineLevel="1">
      <c r="A17" s="47" t="s">
        <v>46</v>
      </c>
      <c r="B17" s="55">
        <v>2.0</v>
      </c>
      <c r="C17" s="56">
        <f t="shared" si="3"/>
        <v>0.03097504742</v>
      </c>
      <c r="D17" s="57">
        <f t="shared" si="46"/>
        <v>46221</v>
      </c>
      <c r="E17" s="55">
        <v>36.0</v>
      </c>
      <c r="F17" s="51">
        <f t="shared" si="9"/>
        <v>877183</v>
      </c>
      <c r="G17" s="58">
        <v>841675.0</v>
      </c>
      <c r="H17" s="58">
        <v>17558.0</v>
      </c>
      <c r="I17" s="58">
        <v>10684.0</v>
      </c>
      <c r="J17" s="58">
        <v>5653.0</v>
      </c>
      <c r="K17" s="58">
        <v>1493.0</v>
      </c>
      <c r="L17" s="59">
        <v>120.0</v>
      </c>
      <c r="M17" s="60">
        <f t="shared" si="10"/>
        <v>29105.325</v>
      </c>
      <c r="N17" s="58">
        <f t="shared" ref="N17:S17" si="62">N$2*G17</f>
        <v>21041.875</v>
      </c>
      <c r="O17" s="58">
        <f t="shared" si="62"/>
        <v>2633.7</v>
      </c>
      <c r="P17" s="58">
        <f t="shared" si="62"/>
        <v>2136.8</v>
      </c>
      <c r="Q17" s="58">
        <f t="shared" si="62"/>
        <v>1978.55</v>
      </c>
      <c r="R17" s="58">
        <f t="shared" si="62"/>
        <v>1194.4</v>
      </c>
      <c r="S17" s="59">
        <f t="shared" si="62"/>
        <v>120</v>
      </c>
      <c r="T17" s="60">
        <f t="shared" si="12"/>
        <v>49383.9725</v>
      </c>
      <c r="U17" s="58">
        <f t="shared" ref="U17:Z17" si="63">U$2*N17/$T$3</f>
        <v>10520.9375</v>
      </c>
      <c r="V17" s="58">
        <f t="shared" si="63"/>
        <v>1448.535</v>
      </c>
      <c r="W17" s="58">
        <f t="shared" si="63"/>
        <v>6410.4</v>
      </c>
      <c r="X17" s="58">
        <f t="shared" si="63"/>
        <v>11871.3</v>
      </c>
      <c r="Y17" s="58">
        <f t="shared" si="63"/>
        <v>14332.8</v>
      </c>
      <c r="Z17" s="59">
        <f t="shared" si="63"/>
        <v>4800</v>
      </c>
      <c r="AA17" s="60">
        <f t="shared" si="14"/>
        <v>3035.96815</v>
      </c>
      <c r="AB17" s="58">
        <f t="shared" ref="AB17:AG17" si="64">AB$2*U17</f>
        <v>210.41875</v>
      </c>
      <c r="AC17" s="58">
        <f t="shared" si="64"/>
        <v>57.9414</v>
      </c>
      <c r="AD17" s="58">
        <f t="shared" si="64"/>
        <v>384.624</v>
      </c>
      <c r="AE17" s="58">
        <f t="shared" si="64"/>
        <v>949.704</v>
      </c>
      <c r="AF17" s="58">
        <f t="shared" si="64"/>
        <v>1433.28</v>
      </c>
      <c r="AG17" s="59">
        <f t="shared" si="64"/>
        <v>0</v>
      </c>
      <c r="AH17" s="61">
        <f t="shared" si="16"/>
        <v>1529.67089</v>
      </c>
      <c r="AI17" s="58">
        <f t="shared" ref="AI17:AN17" si="65">+AB17*AI$2*AI$5</f>
        <v>193.58525</v>
      </c>
      <c r="AJ17" s="58">
        <f t="shared" si="65"/>
        <v>53.306088</v>
      </c>
      <c r="AK17" s="58">
        <f t="shared" si="65"/>
        <v>318.468672</v>
      </c>
      <c r="AL17" s="58">
        <f t="shared" si="65"/>
        <v>436.86384</v>
      </c>
      <c r="AM17" s="58">
        <f t="shared" si="65"/>
        <v>527.44704</v>
      </c>
      <c r="AN17" s="58">
        <f t="shared" si="65"/>
        <v>0</v>
      </c>
      <c r="AO17" s="60">
        <f t="shared" si="18"/>
        <v>932.1175</v>
      </c>
      <c r="AP17" s="52">
        <f t="shared" ref="AP17:AU17" si="66">+(AB17*1000)/AP$2</f>
        <v>420.8375</v>
      </c>
      <c r="AQ17" s="52">
        <f t="shared" si="66"/>
        <v>105.348</v>
      </c>
      <c r="AR17" s="52">
        <f t="shared" si="66"/>
        <v>128.208</v>
      </c>
      <c r="AS17" s="52">
        <f t="shared" si="66"/>
        <v>158.284</v>
      </c>
      <c r="AT17" s="52">
        <f t="shared" si="66"/>
        <v>119.44</v>
      </c>
      <c r="AU17" s="53">
        <f t="shared" si="66"/>
        <v>0</v>
      </c>
    </row>
    <row r="18" ht="14.25" customHeight="1" outlineLevel="1">
      <c r="A18" s="47" t="s">
        <v>47</v>
      </c>
      <c r="B18" s="55">
        <v>2.0</v>
      </c>
      <c r="C18" s="56">
        <f t="shared" si="3"/>
        <v>0.03177186932</v>
      </c>
      <c r="D18" s="57">
        <f t="shared" si="46"/>
        <v>46231</v>
      </c>
      <c r="E18" s="55">
        <v>36.0</v>
      </c>
      <c r="F18" s="51">
        <f t="shared" si="9"/>
        <v>383320</v>
      </c>
      <c r="G18" s="58">
        <v>351599.0</v>
      </c>
      <c r="H18" s="58">
        <v>15639.0</v>
      </c>
      <c r="I18" s="58">
        <v>10162.0</v>
      </c>
      <c r="J18" s="58">
        <v>4889.0</v>
      </c>
      <c r="K18" s="58">
        <v>911.0</v>
      </c>
      <c r="L18" s="59">
        <v>120.0</v>
      </c>
      <c r="M18" s="60">
        <f t="shared" si="10"/>
        <v>15728.175</v>
      </c>
      <c r="N18" s="58">
        <f t="shared" ref="N18:S18" si="67">N$2*G18</f>
        <v>8789.975</v>
      </c>
      <c r="O18" s="58">
        <f t="shared" si="67"/>
        <v>2345.85</v>
      </c>
      <c r="P18" s="58">
        <f t="shared" si="67"/>
        <v>2032.4</v>
      </c>
      <c r="Q18" s="58">
        <f t="shared" si="67"/>
        <v>1711.15</v>
      </c>
      <c r="R18" s="58">
        <f t="shared" si="67"/>
        <v>728.8</v>
      </c>
      <c r="S18" s="59">
        <f t="shared" si="67"/>
        <v>120</v>
      </c>
      <c r="T18" s="60">
        <f t="shared" si="12"/>
        <v>35594.905</v>
      </c>
      <c r="U18" s="58">
        <f t="shared" ref="U18:Z18" si="68">U$2*N18/$T$3</f>
        <v>4394.9875</v>
      </c>
      <c r="V18" s="58">
        <f t="shared" si="68"/>
        <v>1290.2175</v>
      </c>
      <c r="W18" s="58">
        <f t="shared" si="68"/>
        <v>6097.2</v>
      </c>
      <c r="X18" s="58">
        <f t="shared" si="68"/>
        <v>10266.9</v>
      </c>
      <c r="Y18" s="58">
        <f t="shared" si="68"/>
        <v>8745.6</v>
      </c>
      <c r="Z18" s="59">
        <f t="shared" si="68"/>
        <v>4800</v>
      </c>
      <c r="AA18" s="60">
        <f t="shared" si="14"/>
        <v>2201.25245</v>
      </c>
      <c r="AB18" s="58">
        <f t="shared" ref="AB18:AG18" si="69">AB$2*U18</f>
        <v>87.89975</v>
      </c>
      <c r="AC18" s="58">
        <f t="shared" si="69"/>
        <v>51.6087</v>
      </c>
      <c r="AD18" s="58">
        <f t="shared" si="69"/>
        <v>365.832</v>
      </c>
      <c r="AE18" s="58">
        <f t="shared" si="69"/>
        <v>821.352</v>
      </c>
      <c r="AF18" s="58">
        <f t="shared" si="69"/>
        <v>874.56</v>
      </c>
      <c r="AG18" s="59">
        <f t="shared" si="69"/>
        <v>0</v>
      </c>
      <c r="AH18" s="61">
        <f t="shared" si="16"/>
        <v>1130.91667</v>
      </c>
      <c r="AI18" s="58">
        <f t="shared" ref="AI18:AN18" si="70">+AB18*AI$2*AI$5</f>
        <v>80.86777</v>
      </c>
      <c r="AJ18" s="58">
        <f t="shared" si="70"/>
        <v>47.480004</v>
      </c>
      <c r="AK18" s="58">
        <f t="shared" si="70"/>
        <v>302.908896</v>
      </c>
      <c r="AL18" s="58">
        <f t="shared" si="70"/>
        <v>377.82192</v>
      </c>
      <c r="AM18" s="58">
        <f t="shared" si="70"/>
        <v>321.83808</v>
      </c>
      <c r="AN18" s="58">
        <f t="shared" si="70"/>
        <v>0</v>
      </c>
      <c r="AO18" s="60">
        <f t="shared" si="18"/>
        <v>601.3495</v>
      </c>
      <c r="AP18" s="52">
        <f t="shared" ref="AP18:AU18" si="71">+(AB18*1000)/AP$2</f>
        <v>175.7995</v>
      </c>
      <c r="AQ18" s="52">
        <f t="shared" si="71"/>
        <v>93.834</v>
      </c>
      <c r="AR18" s="52">
        <f t="shared" si="71"/>
        <v>121.944</v>
      </c>
      <c r="AS18" s="52">
        <f t="shared" si="71"/>
        <v>136.892</v>
      </c>
      <c r="AT18" s="52">
        <f t="shared" si="71"/>
        <v>72.88</v>
      </c>
      <c r="AU18" s="53">
        <f t="shared" si="71"/>
        <v>0</v>
      </c>
    </row>
    <row r="19" ht="14.25" customHeight="1" outlineLevel="1">
      <c r="A19" s="47" t="s">
        <v>48</v>
      </c>
      <c r="B19" s="55">
        <v>2.0</v>
      </c>
      <c r="C19" s="56">
        <f t="shared" si="3"/>
        <v>0.0314483582</v>
      </c>
      <c r="D19" s="57">
        <f t="shared" si="46"/>
        <v>46241</v>
      </c>
      <c r="E19" s="55">
        <v>36.0</v>
      </c>
      <c r="F19" s="51">
        <f t="shared" si="9"/>
        <v>381911</v>
      </c>
      <c r="G19" s="58">
        <v>351732.0</v>
      </c>
      <c r="H19" s="58">
        <v>15074.0</v>
      </c>
      <c r="I19" s="58">
        <v>9436.0</v>
      </c>
      <c r="J19" s="58">
        <v>4650.0</v>
      </c>
      <c r="K19" s="58">
        <v>899.0</v>
      </c>
      <c r="L19" s="59">
        <v>120.0</v>
      </c>
      <c r="M19" s="60">
        <f t="shared" si="10"/>
        <v>15408.3</v>
      </c>
      <c r="N19" s="58">
        <f t="shared" ref="N19:S19" si="72">N$2*G19</f>
        <v>8793.3</v>
      </c>
      <c r="O19" s="58">
        <f t="shared" si="72"/>
        <v>2261.1</v>
      </c>
      <c r="P19" s="58">
        <f t="shared" si="72"/>
        <v>1887.2</v>
      </c>
      <c r="Q19" s="58">
        <f t="shared" si="72"/>
        <v>1627.5</v>
      </c>
      <c r="R19" s="58">
        <f t="shared" si="72"/>
        <v>719.2</v>
      </c>
      <c r="S19" s="59">
        <f t="shared" si="72"/>
        <v>120</v>
      </c>
      <c r="T19" s="60">
        <f t="shared" si="12"/>
        <v>34497.255</v>
      </c>
      <c r="U19" s="58">
        <f t="shared" ref="U19:Z19" si="73">U$2*N19/$T$3</f>
        <v>4396.65</v>
      </c>
      <c r="V19" s="58">
        <f t="shared" si="73"/>
        <v>1243.605</v>
      </c>
      <c r="W19" s="58">
        <f t="shared" si="73"/>
        <v>5661.6</v>
      </c>
      <c r="X19" s="58">
        <f t="shared" si="73"/>
        <v>9765</v>
      </c>
      <c r="Y19" s="58">
        <f t="shared" si="73"/>
        <v>8630.4</v>
      </c>
      <c r="Z19" s="59">
        <f t="shared" si="73"/>
        <v>4800</v>
      </c>
      <c r="AA19" s="60">
        <f t="shared" si="14"/>
        <v>2121.6132</v>
      </c>
      <c r="AB19" s="58">
        <f t="shared" ref="AB19:AG19" si="74">AB$2*U19</f>
        <v>87.933</v>
      </c>
      <c r="AC19" s="58">
        <f t="shared" si="74"/>
        <v>49.7442</v>
      </c>
      <c r="AD19" s="58">
        <f t="shared" si="74"/>
        <v>339.696</v>
      </c>
      <c r="AE19" s="58">
        <f t="shared" si="74"/>
        <v>781.2</v>
      </c>
      <c r="AF19" s="58">
        <f t="shared" si="74"/>
        <v>863.04</v>
      </c>
      <c r="AG19" s="59">
        <f t="shared" si="74"/>
        <v>0</v>
      </c>
      <c r="AH19" s="61">
        <f t="shared" si="16"/>
        <v>1084.882032</v>
      </c>
      <c r="AI19" s="58">
        <f t="shared" ref="AI19:AN19" si="75">+AB19*AI$2*AI$5</f>
        <v>80.89836</v>
      </c>
      <c r="AJ19" s="58">
        <f t="shared" si="75"/>
        <v>45.764664</v>
      </c>
      <c r="AK19" s="58">
        <f t="shared" si="75"/>
        <v>281.268288</v>
      </c>
      <c r="AL19" s="58">
        <f t="shared" si="75"/>
        <v>359.352</v>
      </c>
      <c r="AM19" s="58">
        <f t="shared" si="75"/>
        <v>317.59872</v>
      </c>
      <c r="AN19" s="58">
        <f t="shared" si="75"/>
        <v>0</v>
      </c>
      <c r="AO19" s="60">
        <f t="shared" si="18"/>
        <v>581.662</v>
      </c>
      <c r="AP19" s="52">
        <f t="shared" ref="AP19:AU19" si="76">+(AB19*1000)/AP$2</f>
        <v>175.866</v>
      </c>
      <c r="AQ19" s="52">
        <f t="shared" si="76"/>
        <v>90.444</v>
      </c>
      <c r="AR19" s="52">
        <f t="shared" si="76"/>
        <v>113.232</v>
      </c>
      <c r="AS19" s="52">
        <f t="shared" si="76"/>
        <v>130.2</v>
      </c>
      <c r="AT19" s="52">
        <f t="shared" si="76"/>
        <v>71.92</v>
      </c>
      <c r="AU19" s="53">
        <f t="shared" si="76"/>
        <v>0</v>
      </c>
    </row>
    <row r="20" ht="14.25" customHeight="1" outlineLevel="1">
      <c r="A20" s="47" t="s">
        <v>49</v>
      </c>
      <c r="B20" s="62">
        <v>3.0</v>
      </c>
      <c r="C20" s="63">
        <f t="shared" si="3"/>
        <v>0.03389159607</v>
      </c>
      <c r="D20" s="64">
        <f t="shared" si="46"/>
        <v>46251</v>
      </c>
      <c r="E20" s="62">
        <v>36.0</v>
      </c>
      <c r="F20" s="51">
        <f t="shared" si="9"/>
        <v>1024532</v>
      </c>
      <c r="G20" s="52">
        <v>967725.0</v>
      </c>
      <c r="H20" s="52">
        <v>29691.0</v>
      </c>
      <c r="I20" s="52">
        <v>17472.0</v>
      </c>
      <c r="J20" s="52">
        <v>7862.0</v>
      </c>
      <c r="K20" s="52">
        <v>1722.0</v>
      </c>
      <c r="L20" s="53">
        <v>60.0</v>
      </c>
      <c r="M20" s="51">
        <f t="shared" si="10"/>
        <v>36330.475</v>
      </c>
      <c r="N20" s="52">
        <f t="shared" ref="N20:S20" si="77">N$2*G20</f>
        <v>24193.125</v>
      </c>
      <c r="O20" s="52">
        <f t="shared" si="77"/>
        <v>4453.65</v>
      </c>
      <c r="P20" s="52">
        <f t="shared" si="77"/>
        <v>3494.4</v>
      </c>
      <c r="Q20" s="52">
        <f t="shared" si="77"/>
        <v>2751.7</v>
      </c>
      <c r="R20" s="52">
        <f t="shared" si="77"/>
        <v>1377.6</v>
      </c>
      <c r="S20" s="53">
        <f t="shared" si="77"/>
        <v>60</v>
      </c>
      <c r="T20" s="51">
        <f t="shared" si="12"/>
        <v>60470.67</v>
      </c>
      <c r="U20" s="52">
        <f t="shared" ref="U20:Z20" si="78">U$2*N20/$T$3</f>
        <v>12096.5625</v>
      </c>
      <c r="V20" s="52">
        <f t="shared" si="78"/>
        <v>2449.5075</v>
      </c>
      <c r="W20" s="52">
        <f t="shared" si="78"/>
        <v>10483.2</v>
      </c>
      <c r="X20" s="52">
        <f t="shared" si="78"/>
        <v>16510.2</v>
      </c>
      <c r="Y20" s="52">
        <f t="shared" si="78"/>
        <v>16531.2</v>
      </c>
      <c r="Z20" s="53">
        <f t="shared" si="78"/>
        <v>2400</v>
      </c>
      <c r="AA20" s="51">
        <f t="shared" si="14"/>
        <v>3942.83955</v>
      </c>
      <c r="AB20" s="52">
        <f t="shared" ref="AB20:AG20" si="79">AB$2*U20</f>
        <v>241.93125</v>
      </c>
      <c r="AC20" s="52">
        <f t="shared" si="79"/>
        <v>97.9803</v>
      </c>
      <c r="AD20" s="52">
        <f t="shared" si="79"/>
        <v>628.992</v>
      </c>
      <c r="AE20" s="52">
        <f t="shared" si="79"/>
        <v>1320.816</v>
      </c>
      <c r="AF20" s="52">
        <f t="shared" si="79"/>
        <v>1653.12</v>
      </c>
      <c r="AG20" s="53">
        <f t="shared" si="79"/>
        <v>0</v>
      </c>
      <c r="AH20" s="54">
        <f t="shared" si="16"/>
        <v>2049.447522</v>
      </c>
      <c r="AI20" s="52">
        <f t="shared" ref="AI20:AN20" si="80">+AB20*AI$2*AI$5</f>
        <v>222.57675</v>
      </c>
      <c r="AJ20" s="52">
        <f t="shared" si="80"/>
        <v>90.141876</v>
      </c>
      <c r="AK20" s="52">
        <f t="shared" si="80"/>
        <v>520.805376</v>
      </c>
      <c r="AL20" s="52">
        <f t="shared" si="80"/>
        <v>607.57536</v>
      </c>
      <c r="AM20" s="52">
        <f t="shared" si="80"/>
        <v>608.34816</v>
      </c>
      <c r="AN20" s="52">
        <f t="shared" si="80"/>
        <v>0</v>
      </c>
      <c r="AO20" s="51">
        <f t="shared" si="18"/>
        <v>1229.5685</v>
      </c>
      <c r="AP20" s="52">
        <f t="shared" ref="AP20:AU20" si="81">+(AB20*1000)/AP$2</f>
        <v>483.8625</v>
      </c>
      <c r="AQ20" s="52">
        <f t="shared" si="81"/>
        <v>178.146</v>
      </c>
      <c r="AR20" s="52">
        <f t="shared" si="81"/>
        <v>209.664</v>
      </c>
      <c r="AS20" s="52">
        <f t="shared" si="81"/>
        <v>220.136</v>
      </c>
      <c r="AT20" s="52">
        <f t="shared" si="81"/>
        <v>137.76</v>
      </c>
      <c r="AU20" s="53">
        <f t="shared" si="81"/>
        <v>0</v>
      </c>
    </row>
    <row r="21" ht="14.25" customHeight="1" outlineLevel="1">
      <c r="A21" s="47" t="s">
        <v>50</v>
      </c>
      <c r="B21" s="62">
        <v>3.0</v>
      </c>
      <c r="C21" s="63">
        <f t="shared" si="3"/>
        <v>0.03239109179</v>
      </c>
      <c r="D21" s="64">
        <f t="shared" si="46"/>
        <v>46261</v>
      </c>
      <c r="E21" s="62">
        <v>36.0</v>
      </c>
      <c r="F21" s="51">
        <f t="shared" si="9"/>
        <v>1310380</v>
      </c>
      <c r="G21" s="52">
        <v>1264086.0</v>
      </c>
      <c r="H21" s="52">
        <v>22844.0</v>
      </c>
      <c r="I21" s="52">
        <v>14096.0</v>
      </c>
      <c r="J21" s="52">
        <v>7533.0</v>
      </c>
      <c r="K21" s="52">
        <v>1761.0</v>
      </c>
      <c r="L21" s="53">
        <v>60.0</v>
      </c>
      <c r="M21" s="51">
        <f t="shared" si="10"/>
        <v>41953.3</v>
      </c>
      <c r="N21" s="52">
        <f t="shared" ref="N21:S21" si="82">N$2*G21</f>
        <v>31602.15</v>
      </c>
      <c r="O21" s="52">
        <f t="shared" si="82"/>
        <v>3426.6</v>
      </c>
      <c r="P21" s="52">
        <f t="shared" si="82"/>
        <v>2819.2</v>
      </c>
      <c r="Q21" s="52">
        <f t="shared" si="82"/>
        <v>2636.55</v>
      </c>
      <c r="R21" s="52">
        <f t="shared" si="82"/>
        <v>1408.8</v>
      </c>
      <c r="S21" s="53">
        <f t="shared" si="82"/>
        <v>60</v>
      </c>
      <c r="T21" s="51">
        <f t="shared" si="12"/>
        <v>61268.205</v>
      </c>
      <c r="U21" s="52">
        <f t="shared" ref="U21:Z21" si="83">U$2*N21/$T$3</f>
        <v>15801.075</v>
      </c>
      <c r="V21" s="52">
        <f t="shared" si="83"/>
        <v>1884.63</v>
      </c>
      <c r="W21" s="52">
        <f t="shared" si="83"/>
        <v>8457.6</v>
      </c>
      <c r="X21" s="52">
        <f t="shared" si="83"/>
        <v>15819.3</v>
      </c>
      <c r="Y21" s="52">
        <f t="shared" si="83"/>
        <v>16905.6</v>
      </c>
      <c r="Z21" s="53">
        <f t="shared" si="83"/>
        <v>2400</v>
      </c>
      <c r="AA21" s="51">
        <f t="shared" si="14"/>
        <v>3854.9667</v>
      </c>
      <c r="AB21" s="52">
        <f t="shared" ref="AB21:AG21" si="84">AB$2*U21</f>
        <v>316.0215</v>
      </c>
      <c r="AC21" s="52">
        <f t="shared" si="84"/>
        <v>75.3852</v>
      </c>
      <c r="AD21" s="52">
        <f t="shared" si="84"/>
        <v>507.456</v>
      </c>
      <c r="AE21" s="52">
        <f t="shared" si="84"/>
        <v>1265.544</v>
      </c>
      <c r="AF21" s="52">
        <f t="shared" si="84"/>
        <v>1690.56</v>
      </c>
      <c r="AG21" s="53">
        <f t="shared" si="84"/>
        <v>0</v>
      </c>
      <c r="AH21" s="54">
        <f t="shared" si="16"/>
        <v>1984.544052</v>
      </c>
      <c r="AI21" s="52">
        <f t="shared" ref="AI21:AN21" si="85">+AB21*AI$2*AI$5</f>
        <v>290.73978</v>
      </c>
      <c r="AJ21" s="52">
        <f t="shared" si="85"/>
        <v>69.354384</v>
      </c>
      <c r="AK21" s="52">
        <f t="shared" si="85"/>
        <v>420.173568</v>
      </c>
      <c r="AL21" s="52">
        <f t="shared" si="85"/>
        <v>582.15024</v>
      </c>
      <c r="AM21" s="52">
        <f t="shared" si="85"/>
        <v>622.12608</v>
      </c>
      <c r="AN21" s="52">
        <f t="shared" si="85"/>
        <v>0</v>
      </c>
      <c r="AO21" s="51">
        <f t="shared" si="18"/>
        <v>1290.063</v>
      </c>
      <c r="AP21" s="52">
        <f t="shared" ref="AP21:AU21" si="86">+(AB21*1000)/AP$2</f>
        <v>632.043</v>
      </c>
      <c r="AQ21" s="52">
        <f t="shared" si="86"/>
        <v>137.064</v>
      </c>
      <c r="AR21" s="52">
        <f t="shared" si="86"/>
        <v>169.152</v>
      </c>
      <c r="AS21" s="52">
        <f t="shared" si="86"/>
        <v>210.924</v>
      </c>
      <c r="AT21" s="52">
        <f t="shared" si="86"/>
        <v>140.88</v>
      </c>
      <c r="AU21" s="53">
        <f t="shared" si="86"/>
        <v>0</v>
      </c>
    </row>
    <row r="22" ht="14.25" customHeight="1" outlineLevel="1">
      <c r="A22" s="47" t="s">
        <v>51</v>
      </c>
      <c r="B22" s="62">
        <v>3.0</v>
      </c>
      <c r="C22" s="63">
        <f t="shared" si="3"/>
        <v>0.03173458172</v>
      </c>
      <c r="D22" s="64">
        <f t="shared" si="46"/>
        <v>46271</v>
      </c>
      <c r="E22" s="62">
        <v>36.0</v>
      </c>
      <c r="F22" s="51">
        <f t="shared" si="9"/>
        <v>1404984</v>
      </c>
      <c r="G22" s="52">
        <v>1350453.0</v>
      </c>
      <c r="H22" s="52">
        <v>29487.0</v>
      </c>
      <c r="I22" s="52">
        <v>16329.0</v>
      </c>
      <c r="J22" s="52">
        <v>7407.0</v>
      </c>
      <c r="K22" s="52">
        <v>1228.0</v>
      </c>
      <c r="L22" s="53">
        <v>80.0</v>
      </c>
      <c r="M22" s="51">
        <f t="shared" si="10"/>
        <v>45105.025</v>
      </c>
      <c r="N22" s="52">
        <f t="shared" ref="N22:S22" si="87">N$2*G22</f>
        <v>33761.325</v>
      </c>
      <c r="O22" s="52">
        <f t="shared" si="87"/>
        <v>4423.05</v>
      </c>
      <c r="P22" s="52">
        <f t="shared" si="87"/>
        <v>3265.8</v>
      </c>
      <c r="Q22" s="52">
        <f t="shared" si="87"/>
        <v>2592.45</v>
      </c>
      <c r="R22" s="52">
        <f t="shared" si="87"/>
        <v>982.4</v>
      </c>
      <c r="S22" s="53">
        <f t="shared" si="87"/>
        <v>80</v>
      </c>
      <c r="T22" s="51">
        <f t="shared" si="12"/>
        <v>59654.24</v>
      </c>
      <c r="U22" s="52">
        <f t="shared" ref="U22:Z22" si="88">U$2*N22/$T$3</f>
        <v>16880.6625</v>
      </c>
      <c r="V22" s="52">
        <f t="shared" si="88"/>
        <v>2432.6775</v>
      </c>
      <c r="W22" s="52">
        <f t="shared" si="88"/>
        <v>9797.4</v>
      </c>
      <c r="X22" s="52">
        <f t="shared" si="88"/>
        <v>15554.7</v>
      </c>
      <c r="Y22" s="52">
        <f t="shared" si="88"/>
        <v>11788.8</v>
      </c>
      <c r="Z22" s="53">
        <f t="shared" si="88"/>
        <v>3200</v>
      </c>
      <c r="AA22" s="51">
        <f t="shared" si="14"/>
        <v>3446.02035</v>
      </c>
      <c r="AB22" s="52">
        <f t="shared" ref="AB22:AG22" si="89">AB$2*U22</f>
        <v>337.61325</v>
      </c>
      <c r="AC22" s="52">
        <f t="shared" si="89"/>
        <v>97.3071</v>
      </c>
      <c r="AD22" s="52">
        <f t="shared" si="89"/>
        <v>587.844</v>
      </c>
      <c r="AE22" s="52">
        <f t="shared" si="89"/>
        <v>1244.376</v>
      </c>
      <c r="AF22" s="52">
        <f t="shared" si="89"/>
        <v>1178.88</v>
      </c>
      <c r="AG22" s="53">
        <f t="shared" si="89"/>
        <v>0</v>
      </c>
      <c r="AH22" s="54">
        <f t="shared" si="16"/>
        <v>1893.102354</v>
      </c>
      <c r="AI22" s="52">
        <f t="shared" ref="AI22:AN22" si="90">+AB22*AI$2*AI$5</f>
        <v>310.60419</v>
      </c>
      <c r="AJ22" s="52">
        <f t="shared" si="90"/>
        <v>89.522532</v>
      </c>
      <c r="AK22" s="52">
        <f t="shared" si="90"/>
        <v>486.734832</v>
      </c>
      <c r="AL22" s="52">
        <f t="shared" si="90"/>
        <v>572.41296</v>
      </c>
      <c r="AM22" s="52">
        <f t="shared" si="90"/>
        <v>433.82784</v>
      </c>
      <c r="AN22" s="52">
        <f t="shared" si="90"/>
        <v>0</v>
      </c>
      <c r="AO22" s="51">
        <f t="shared" si="18"/>
        <v>1353.7325</v>
      </c>
      <c r="AP22" s="52">
        <f t="shared" ref="AP22:AU22" si="91">+(AB22*1000)/AP$2</f>
        <v>675.2265</v>
      </c>
      <c r="AQ22" s="52">
        <f t="shared" si="91"/>
        <v>176.922</v>
      </c>
      <c r="AR22" s="52">
        <f t="shared" si="91"/>
        <v>195.948</v>
      </c>
      <c r="AS22" s="52">
        <f t="shared" si="91"/>
        <v>207.396</v>
      </c>
      <c r="AT22" s="52">
        <f t="shared" si="91"/>
        <v>98.24</v>
      </c>
      <c r="AU22" s="53">
        <f t="shared" si="91"/>
        <v>0</v>
      </c>
    </row>
    <row r="23" ht="14.25" customHeight="1" outlineLevel="1">
      <c r="A23" s="47" t="s">
        <v>52</v>
      </c>
      <c r="B23" s="62">
        <v>3.0</v>
      </c>
      <c r="C23" s="63">
        <f t="shared" si="3"/>
        <v>0.02907589277</v>
      </c>
      <c r="D23" s="64">
        <f t="shared" si="46"/>
        <v>46281</v>
      </c>
      <c r="E23" s="62">
        <v>36.0</v>
      </c>
      <c r="F23" s="51">
        <f t="shared" si="9"/>
        <v>948849</v>
      </c>
      <c r="G23" s="52">
        <v>894542.0</v>
      </c>
      <c r="H23" s="52">
        <v>32362.0</v>
      </c>
      <c r="I23" s="52">
        <v>15851.0</v>
      </c>
      <c r="J23" s="52">
        <v>5207.0</v>
      </c>
      <c r="K23" s="52">
        <v>687.0</v>
      </c>
      <c r="L23" s="53">
        <v>200.0</v>
      </c>
      <c r="M23" s="51">
        <f t="shared" si="10"/>
        <v>32960.1</v>
      </c>
      <c r="N23" s="52">
        <f t="shared" ref="N23:S23" si="92">N$2*G23</f>
        <v>22363.55</v>
      </c>
      <c r="O23" s="52">
        <f t="shared" si="92"/>
        <v>4854.3</v>
      </c>
      <c r="P23" s="52">
        <f t="shared" si="92"/>
        <v>3170.2</v>
      </c>
      <c r="Q23" s="52">
        <f t="shared" si="92"/>
        <v>1822.45</v>
      </c>
      <c r="R23" s="52">
        <f t="shared" si="92"/>
        <v>549.6</v>
      </c>
      <c r="S23" s="53">
        <f t="shared" si="92"/>
        <v>200</v>
      </c>
      <c r="T23" s="51">
        <f t="shared" si="12"/>
        <v>48892.14</v>
      </c>
      <c r="U23" s="52">
        <f t="shared" ref="U23:Z23" si="93">U$2*N23/$T$3</f>
        <v>11181.775</v>
      </c>
      <c r="V23" s="52">
        <f t="shared" si="93"/>
        <v>2669.865</v>
      </c>
      <c r="W23" s="52">
        <f t="shared" si="93"/>
        <v>9510.6</v>
      </c>
      <c r="X23" s="52">
        <f t="shared" si="93"/>
        <v>10934.7</v>
      </c>
      <c r="Y23" s="52">
        <f t="shared" si="93"/>
        <v>6595.2</v>
      </c>
      <c r="Z23" s="53">
        <f t="shared" si="93"/>
        <v>8000</v>
      </c>
      <c r="AA23" s="51">
        <f t="shared" si="14"/>
        <v>2435.3621</v>
      </c>
      <c r="AB23" s="52">
        <f t="shared" ref="AB23:AG23" si="94">AB$2*U23</f>
        <v>223.6355</v>
      </c>
      <c r="AC23" s="52">
        <f t="shared" si="94"/>
        <v>106.7946</v>
      </c>
      <c r="AD23" s="52">
        <f t="shared" si="94"/>
        <v>570.636</v>
      </c>
      <c r="AE23" s="52">
        <f t="shared" si="94"/>
        <v>874.776</v>
      </c>
      <c r="AF23" s="52">
        <f t="shared" si="94"/>
        <v>659.52</v>
      </c>
      <c r="AG23" s="53">
        <f t="shared" si="94"/>
        <v>0</v>
      </c>
      <c r="AH23" s="54">
        <f t="shared" si="16"/>
        <v>1421.58262</v>
      </c>
      <c r="AI23" s="52">
        <f t="shared" ref="AI23:AN23" si="95">+AB23*AI$2*AI$5</f>
        <v>205.74466</v>
      </c>
      <c r="AJ23" s="52">
        <f t="shared" si="95"/>
        <v>98.251032</v>
      </c>
      <c r="AK23" s="52">
        <f t="shared" si="95"/>
        <v>472.486608</v>
      </c>
      <c r="AL23" s="52">
        <f t="shared" si="95"/>
        <v>402.39696</v>
      </c>
      <c r="AM23" s="52">
        <f t="shared" si="95"/>
        <v>242.70336</v>
      </c>
      <c r="AN23" s="52">
        <f t="shared" si="95"/>
        <v>0</v>
      </c>
      <c r="AO23" s="51">
        <f t="shared" si="18"/>
        <v>1032.411</v>
      </c>
      <c r="AP23" s="52">
        <f t="shared" ref="AP23:AU23" si="96">+(AB23*1000)/AP$2</f>
        <v>447.271</v>
      </c>
      <c r="AQ23" s="52">
        <f t="shared" si="96"/>
        <v>194.172</v>
      </c>
      <c r="AR23" s="52">
        <f t="shared" si="96"/>
        <v>190.212</v>
      </c>
      <c r="AS23" s="52">
        <f t="shared" si="96"/>
        <v>145.796</v>
      </c>
      <c r="AT23" s="52">
        <f t="shared" si="96"/>
        <v>54.96</v>
      </c>
      <c r="AU23" s="53">
        <f t="shared" si="96"/>
        <v>0</v>
      </c>
    </row>
    <row r="24" ht="14.25" customHeight="1" outlineLevel="1">
      <c r="A24" s="47" t="s">
        <v>53</v>
      </c>
      <c r="B24" s="62">
        <v>3.0</v>
      </c>
      <c r="C24" s="63">
        <f t="shared" si="3"/>
        <v>0.03216887642</v>
      </c>
      <c r="D24" s="64">
        <f t="shared" si="46"/>
        <v>46291</v>
      </c>
      <c r="E24" s="62">
        <v>36.0</v>
      </c>
      <c r="F24" s="51">
        <f t="shared" si="9"/>
        <v>901070</v>
      </c>
      <c r="G24" s="52">
        <v>863743.0</v>
      </c>
      <c r="H24" s="52">
        <v>20627.0</v>
      </c>
      <c r="I24" s="52">
        <v>10867.0</v>
      </c>
      <c r="J24" s="52">
        <v>4784.0</v>
      </c>
      <c r="K24" s="52">
        <v>999.0</v>
      </c>
      <c r="L24" s="53">
        <v>50.0</v>
      </c>
      <c r="M24" s="51">
        <f t="shared" si="10"/>
        <v>29384.625</v>
      </c>
      <c r="N24" s="52">
        <f t="shared" ref="N24:S24" si="97">N$2*G24</f>
        <v>21593.575</v>
      </c>
      <c r="O24" s="52">
        <f t="shared" si="97"/>
        <v>3094.05</v>
      </c>
      <c r="P24" s="52">
        <f t="shared" si="97"/>
        <v>2173.4</v>
      </c>
      <c r="Q24" s="52">
        <f t="shared" si="97"/>
        <v>1674.4</v>
      </c>
      <c r="R24" s="52">
        <f t="shared" si="97"/>
        <v>799.2</v>
      </c>
      <c r="S24" s="53">
        <f t="shared" si="97"/>
        <v>50</v>
      </c>
      <c r="T24" s="51">
        <f t="shared" si="12"/>
        <v>40655.515</v>
      </c>
      <c r="U24" s="52">
        <f t="shared" ref="U24:Z24" si="98">U$2*N24/$T$3</f>
        <v>10796.7875</v>
      </c>
      <c r="V24" s="52">
        <f t="shared" si="98"/>
        <v>1701.7275</v>
      </c>
      <c r="W24" s="52">
        <f t="shared" si="98"/>
        <v>6520.2</v>
      </c>
      <c r="X24" s="52">
        <f t="shared" si="98"/>
        <v>10046.4</v>
      </c>
      <c r="Y24" s="52">
        <f t="shared" si="98"/>
        <v>9590.4</v>
      </c>
      <c r="Z24" s="53">
        <f t="shared" si="98"/>
        <v>2000</v>
      </c>
      <c r="AA24" s="51">
        <f t="shared" si="14"/>
        <v>2437.96885</v>
      </c>
      <c r="AB24" s="52">
        <f t="shared" ref="AB24:AG24" si="99">AB$2*U24</f>
        <v>215.93575</v>
      </c>
      <c r="AC24" s="52">
        <f t="shared" si="99"/>
        <v>68.0691</v>
      </c>
      <c r="AD24" s="52">
        <f t="shared" si="99"/>
        <v>391.212</v>
      </c>
      <c r="AE24" s="52">
        <f t="shared" si="99"/>
        <v>803.712</v>
      </c>
      <c r="AF24" s="52">
        <f t="shared" si="99"/>
        <v>959.04</v>
      </c>
      <c r="AG24" s="53">
        <f t="shared" si="99"/>
        <v>0</v>
      </c>
      <c r="AH24" s="54">
        <f t="shared" si="16"/>
        <v>1307.842238</v>
      </c>
      <c r="AI24" s="52">
        <f t="shared" ref="AI24:AN24" si="100">+AB24*AI$2*AI$5</f>
        <v>198.66089</v>
      </c>
      <c r="AJ24" s="52">
        <f t="shared" si="100"/>
        <v>62.623572</v>
      </c>
      <c r="AK24" s="52">
        <f t="shared" si="100"/>
        <v>323.923536</v>
      </c>
      <c r="AL24" s="52">
        <f t="shared" si="100"/>
        <v>369.70752</v>
      </c>
      <c r="AM24" s="52">
        <f t="shared" si="100"/>
        <v>352.92672</v>
      </c>
      <c r="AN24" s="52">
        <f t="shared" si="100"/>
        <v>0</v>
      </c>
      <c r="AO24" s="51">
        <f t="shared" si="18"/>
        <v>899.9095</v>
      </c>
      <c r="AP24" s="52">
        <f t="shared" ref="AP24:AU24" si="101">+(AB24*1000)/AP$2</f>
        <v>431.8715</v>
      </c>
      <c r="AQ24" s="52">
        <f t="shared" si="101"/>
        <v>123.762</v>
      </c>
      <c r="AR24" s="52">
        <f t="shared" si="101"/>
        <v>130.404</v>
      </c>
      <c r="AS24" s="52">
        <f t="shared" si="101"/>
        <v>133.952</v>
      </c>
      <c r="AT24" s="52">
        <f t="shared" si="101"/>
        <v>79.92</v>
      </c>
      <c r="AU24" s="53">
        <f t="shared" si="101"/>
        <v>0</v>
      </c>
    </row>
    <row r="25" ht="14.25" customHeight="1" outlineLevel="1">
      <c r="A25" s="47" t="s">
        <v>54</v>
      </c>
      <c r="B25" s="62">
        <v>3.0</v>
      </c>
      <c r="C25" s="63">
        <f t="shared" si="3"/>
        <v>0.03394322821</v>
      </c>
      <c r="D25" s="64">
        <f t="shared" si="46"/>
        <v>46301</v>
      </c>
      <c r="E25" s="62">
        <v>36.0</v>
      </c>
      <c r="F25" s="51">
        <f t="shared" si="9"/>
        <v>405698</v>
      </c>
      <c r="G25" s="52">
        <v>374877.0</v>
      </c>
      <c r="H25" s="52">
        <v>16078.0</v>
      </c>
      <c r="I25" s="52">
        <v>9428.0</v>
      </c>
      <c r="J25" s="52">
        <v>4503.0</v>
      </c>
      <c r="K25" s="52">
        <v>762.0</v>
      </c>
      <c r="L25" s="53">
        <v>50.0</v>
      </c>
      <c r="M25" s="51">
        <f t="shared" si="10"/>
        <v>15904.875</v>
      </c>
      <c r="N25" s="52">
        <f t="shared" ref="N25:S25" si="102">N$2*G25</f>
        <v>9371.925</v>
      </c>
      <c r="O25" s="52">
        <f t="shared" si="102"/>
        <v>2411.7</v>
      </c>
      <c r="P25" s="52">
        <f t="shared" si="102"/>
        <v>1885.6</v>
      </c>
      <c r="Q25" s="52">
        <f t="shared" si="102"/>
        <v>1576.05</v>
      </c>
      <c r="R25" s="52">
        <f t="shared" si="102"/>
        <v>609.6</v>
      </c>
      <c r="S25" s="53">
        <f t="shared" si="102"/>
        <v>50</v>
      </c>
      <c r="T25" s="51">
        <f t="shared" si="12"/>
        <v>30440.6975</v>
      </c>
      <c r="U25" s="52">
        <f t="shared" ref="U25:Z25" si="103">U$2*N25/$T$3</f>
        <v>4685.9625</v>
      </c>
      <c r="V25" s="52">
        <f t="shared" si="103"/>
        <v>1326.435</v>
      </c>
      <c r="W25" s="52">
        <f t="shared" si="103"/>
        <v>5656.8</v>
      </c>
      <c r="X25" s="52">
        <f t="shared" si="103"/>
        <v>9456.3</v>
      </c>
      <c r="Y25" s="52">
        <f t="shared" si="103"/>
        <v>7315.2</v>
      </c>
      <c r="Z25" s="53">
        <f t="shared" si="103"/>
        <v>2000</v>
      </c>
      <c r="AA25" s="51">
        <f t="shared" si="14"/>
        <v>1974.20865</v>
      </c>
      <c r="AB25" s="52">
        <f t="shared" ref="AB25:AG25" si="104">AB$2*U25</f>
        <v>93.71925</v>
      </c>
      <c r="AC25" s="52">
        <f t="shared" si="104"/>
        <v>53.0574</v>
      </c>
      <c r="AD25" s="52">
        <f t="shared" si="104"/>
        <v>339.408</v>
      </c>
      <c r="AE25" s="52">
        <f t="shared" si="104"/>
        <v>756.504</v>
      </c>
      <c r="AF25" s="52">
        <f t="shared" si="104"/>
        <v>731.52</v>
      </c>
      <c r="AG25" s="53">
        <f t="shared" si="104"/>
        <v>0</v>
      </c>
      <c r="AH25" s="54">
        <f t="shared" si="16"/>
        <v>1033.255542</v>
      </c>
      <c r="AI25" s="52">
        <f t="shared" ref="AI25:AN25" si="105">+AB25*AI$2*AI$5</f>
        <v>86.22171</v>
      </c>
      <c r="AJ25" s="52">
        <f t="shared" si="105"/>
        <v>48.812808</v>
      </c>
      <c r="AK25" s="52">
        <f t="shared" si="105"/>
        <v>281.029824</v>
      </c>
      <c r="AL25" s="52">
        <f t="shared" si="105"/>
        <v>347.99184</v>
      </c>
      <c r="AM25" s="52">
        <f t="shared" si="105"/>
        <v>269.19936</v>
      </c>
      <c r="AN25" s="52">
        <f t="shared" si="105"/>
        <v>0</v>
      </c>
      <c r="AO25" s="51">
        <f t="shared" si="18"/>
        <v>584.0865</v>
      </c>
      <c r="AP25" s="52">
        <f t="shared" ref="AP25:AU25" si="106">+(AB25*1000)/AP$2</f>
        <v>187.4385</v>
      </c>
      <c r="AQ25" s="52">
        <f t="shared" si="106"/>
        <v>96.468</v>
      </c>
      <c r="AR25" s="52">
        <f t="shared" si="106"/>
        <v>113.136</v>
      </c>
      <c r="AS25" s="52">
        <f t="shared" si="106"/>
        <v>126.084</v>
      </c>
      <c r="AT25" s="52">
        <f t="shared" si="106"/>
        <v>60.96</v>
      </c>
      <c r="AU25" s="53">
        <f t="shared" si="106"/>
        <v>0</v>
      </c>
    </row>
    <row r="26" ht="14.25" customHeight="1" outlineLevel="1">
      <c r="A26" s="47" t="s">
        <v>55</v>
      </c>
      <c r="B26" s="62">
        <v>3.0</v>
      </c>
      <c r="C26" s="63">
        <f t="shared" si="3"/>
        <v>0.02952044505</v>
      </c>
      <c r="D26" s="64">
        <f t="shared" si="46"/>
        <v>46311</v>
      </c>
      <c r="E26" s="62">
        <v>36.0</v>
      </c>
      <c r="F26" s="51">
        <f t="shared" si="9"/>
        <v>660842</v>
      </c>
      <c r="G26" s="52">
        <v>644680.0</v>
      </c>
      <c r="H26" s="52">
        <v>8092.0</v>
      </c>
      <c r="I26" s="52">
        <v>4753.0</v>
      </c>
      <c r="J26" s="52">
        <v>2601.0</v>
      </c>
      <c r="K26" s="52">
        <v>666.0</v>
      </c>
      <c r="L26" s="53">
        <v>50.0</v>
      </c>
      <c r="M26" s="51">
        <f t="shared" si="10"/>
        <v>19774.55</v>
      </c>
      <c r="N26" s="52">
        <f t="shared" ref="N26:S26" si="107">N$2*G26</f>
        <v>16117</v>
      </c>
      <c r="O26" s="52">
        <f t="shared" si="107"/>
        <v>1213.8</v>
      </c>
      <c r="P26" s="52">
        <f t="shared" si="107"/>
        <v>950.6</v>
      </c>
      <c r="Q26" s="52">
        <f t="shared" si="107"/>
        <v>910.35</v>
      </c>
      <c r="R26" s="52">
        <f t="shared" si="107"/>
        <v>532.8</v>
      </c>
      <c r="S26" s="53">
        <f t="shared" si="107"/>
        <v>50</v>
      </c>
      <c r="T26" s="51">
        <f t="shared" si="12"/>
        <v>25433.59</v>
      </c>
      <c r="U26" s="52">
        <f t="shared" ref="U26:Z26" si="108">U$2*N26/$T$3</f>
        <v>8058.5</v>
      </c>
      <c r="V26" s="52">
        <f t="shared" si="108"/>
        <v>667.59</v>
      </c>
      <c r="W26" s="52">
        <f t="shared" si="108"/>
        <v>2851.8</v>
      </c>
      <c r="X26" s="52">
        <f t="shared" si="108"/>
        <v>5462.1</v>
      </c>
      <c r="Y26" s="52">
        <f t="shared" si="108"/>
        <v>6393.6</v>
      </c>
      <c r="Z26" s="53">
        <f t="shared" si="108"/>
        <v>2000</v>
      </c>
      <c r="AA26" s="51">
        <f t="shared" si="14"/>
        <v>1435.3096</v>
      </c>
      <c r="AB26" s="52">
        <f t="shared" ref="AB26:AG26" si="109">AB$2*U26</f>
        <v>161.17</v>
      </c>
      <c r="AC26" s="52">
        <f t="shared" si="109"/>
        <v>26.7036</v>
      </c>
      <c r="AD26" s="52">
        <f t="shared" si="109"/>
        <v>171.108</v>
      </c>
      <c r="AE26" s="52">
        <f t="shared" si="109"/>
        <v>436.968</v>
      </c>
      <c r="AF26" s="52">
        <f t="shared" si="109"/>
        <v>639.36</v>
      </c>
      <c r="AG26" s="53">
        <f t="shared" si="109"/>
        <v>0</v>
      </c>
      <c r="AH26" s="54">
        <f t="shared" si="16"/>
        <v>750.810896</v>
      </c>
      <c r="AI26" s="52">
        <f t="shared" ref="AI26:AN26" si="110">+AB26*AI$2*AI$5</f>
        <v>148.2764</v>
      </c>
      <c r="AJ26" s="52">
        <f t="shared" si="110"/>
        <v>24.567312</v>
      </c>
      <c r="AK26" s="52">
        <f t="shared" si="110"/>
        <v>141.677424</v>
      </c>
      <c r="AL26" s="52">
        <f t="shared" si="110"/>
        <v>201.00528</v>
      </c>
      <c r="AM26" s="52">
        <f t="shared" si="110"/>
        <v>235.28448</v>
      </c>
      <c r="AN26" s="52">
        <f t="shared" si="110"/>
        <v>0</v>
      </c>
      <c r="AO26" s="51">
        <f t="shared" si="18"/>
        <v>554.036</v>
      </c>
      <c r="AP26" s="52">
        <f t="shared" ref="AP26:AU26" si="111">+(AB26*1000)/AP$2</f>
        <v>322.34</v>
      </c>
      <c r="AQ26" s="52">
        <f t="shared" si="111"/>
        <v>48.552</v>
      </c>
      <c r="AR26" s="52">
        <f t="shared" si="111"/>
        <v>57.036</v>
      </c>
      <c r="AS26" s="52">
        <f t="shared" si="111"/>
        <v>72.828</v>
      </c>
      <c r="AT26" s="52">
        <f t="shared" si="111"/>
        <v>53.28</v>
      </c>
      <c r="AU26" s="53">
        <f t="shared" si="111"/>
        <v>0</v>
      </c>
    </row>
    <row r="27" ht="14.25" customHeight="1" outlineLevel="1">
      <c r="A27" s="47" t="s">
        <v>56</v>
      </c>
      <c r="B27" s="62">
        <v>3.0</v>
      </c>
      <c r="C27" s="63">
        <f t="shared" si="3"/>
        <v>0.03169841911</v>
      </c>
      <c r="D27" s="64">
        <f t="shared" si="46"/>
        <v>46321</v>
      </c>
      <c r="E27" s="62">
        <v>36.0</v>
      </c>
      <c r="F27" s="51">
        <f t="shared" si="9"/>
        <v>351397</v>
      </c>
      <c r="G27" s="52">
        <v>335651.0</v>
      </c>
      <c r="H27" s="52">
        <v>7809.0</v>
      </c>
      <c r="I27" s="52">
        <v>4921.0</v>
      </c>
      <c r="J27" s="52">
        <v>2499.0</v>
      </c>
      <c r="K27" s="52">
        <v>477.0</v>
      </c>
      <c r="L27" s="53">
        <v>40.0</v>
      </c>
      <c r="M27" s="51">
        <f t="shared" si="10"/>
        <v>11843.075</v>
      </c>
      <c r="N27" s="52">
        <f t="shared" ref="N27:S27" si="112">N$2*G27</f>
        <v>8391.275</v>
      </c>
      <c r="O27" s="52">
        <f t="shared" si="112"/>
        <v>1171.35</v>
      </c>
      <c r="P27" s="52">
        <f t="shared" si="112"/>
        <v>984.2</v>
      </c>
      <c r="Q27" s="52">
        <f t="shared" si="112"/>
        <v>874.65</v>
      </c>
      <c r="R27" s="52">
        <f t="shared" si="112"/>
        <v>381.6</v>
      </c>
      <c r="S27" s="53">
        <f t="shared" si="112"/>
        <v>40</v>
      </c>
      <c r="T27" s="51">
        <f t="shared" si="12"/>
        <v>19219.58</v>
      </c>
      <c r="U27" s="52">
        <f t="shared" ref="U27:Z27" si="113">U$2*N27/$T$3</f>
        <v>4195.6375</v>
      </c>
      <c r="V27" s="52">
        <f t="shared" si="113"/>
        <v>644.2425</v>
      </c>
      <c r="W27" s="52">
        <f t="shared" si="113"/>
        <v>2952.6</v>
      </c>
      <c r="X27" s="52">
        <f t="shared" si="113"/>
        <v>5247.9</v>
      </c>
      <c r="Y27" s="52">
        <f t="shared" si="113"/>
        <v>4579.2</v>
      </c>
      <c r="Z27" s="53">
        <f t="shared" si="113"/>
        <v>1600</v>
      </c>
      <c r="AA27" s="51">
        <f t="shared" si="14"/>
        <v>1164.59045</v>
      </c>
      <c r="AB27" s="52">
        <f t="shared" ref="AB27:AG27" si="114">AB$2*U27</f>
        <v>83.91275</v>
      </c>
      <c r="AC27" s="52">
        <f t="shared" si="114"/>
        <v>25.7697</v>
      </c>
      <c r="AD27" s="52">
        <f t="shared" si="114"/>
        <v>177.156</v>
      </c>
      <c r="AE27" s="52">
        <f t="shared" si="114"/>
        <v>419.832</v>
      </c>
      <c r="AF27" s="52">
        <f t="shared" si="114"/>
        <v>457.92</v>
      </c>
      <c r="AG27" s="53">
        <f t="shared" si="114"/>
        <v>0</v>
      </c>
      <c r="AH27" s="54">
        <f t="shared" si="16"/>
        <v>609.230302</v>
      </c>
      <c r="AI27" s="52">
        <f t="shared" ref="AI27:AN27" si="115">+AB27*AI$2*AI$5</f>
        <v>77.19973</v>
      </c>
      <c r="AJ27" s="52">
        <f t="shared" si="115"/>
        <v>23.708124</v>
      </c>
      <c r="AK27" s="52">
        <f t="shared" si="115"/>
        <v>146.685168</v>
      </c>
      <c r="AL27" s="52">
        <f t="shared" si="115"/>
        <v>193.12272</v>
      </c>
      <c r="AM27" s="52">
        <f t="shared" si="115"/>
        <v>168.51456</v>
      </c>
      <c r="AN27" s="52">
        <f t="shared" si="115"/>
        <v>0</v>
      </c>
      <c r="AO27" s="51">
        <f t="shared" si="18"/>
        <v>381.8635</v>
      </c>
      <c r="AP27" s="52">
        <f t="shared" ref="AP27:AU27" si="116">+(AB27*1000)/AP$2</f>
        <v>167.8255</v>
      </c>
      <c r="AQ27" s="52">
        <f t="shared" si="116"/>
        <v>46.854</v>
      </c>
      <c r="AR27" s="52">
        <f t="shared" si="116"/>
        <v>59.052</v>
      </c>
      <c r="AS27" s="52">
        <f t="shared" si="116"/>
        <v>69.972</v>
      </c>
      <c r="AT27" s="52">
        <f t="shared" si="116"/>
        <v>38.16</v>
      </c>
      <c r="AU27" s="53">
        <f t="shared" si="116"/>
        <v>0</v>
      </c>
    </row>
    <row r="28" ht="14.25" customHeight="1" outlineLevel="1">
      <c r="A28" s="47" t="s">
        <v>57</v>
      </c>
      <c r="B28" s="62">
        <v>3.0</v>
      </c>
      <c r="C28" s="63">
        <f t="shared" si="3"/>
        <v>0.0325122354</v>
      </c>
      <c r="D28" s="64">
        <f t="shared" si="46"/>
        <v>46331</v>
      </c>
      <c r="E28" s="62">
        <v>36.0</v>
      </c>
      <c r="F28" s="51">
        <f t="shared" si="9"/>
        <v>240660</v>
      </c>
      <c r="G28" s="52">
        <v>223613.0</v>
      </c>
      <c r="H28" s="52">
        <v>9473.0</v>
      </c>
      <c r="I28" s="52">
        <v>4850.0</v>
      </c>
      <c r="J28" s="52">
        <v>2249.0</v>
      </c>
      <c r="K28" s="52">
        <v>435.0</v>
      </c>
      <c r="L28" s="53">
        <v>40.0</v>
      </c>
      <c r="M28" s="51">
        <f t="shared" si="10"/>
        <v>9156.425</v>
      </c>
      <c r="N28" s="52">
        <f t="shared" ref="N28:S28" si="117">N$2*G28</f>
        <v>5590.325</v>
      </c>
      <c r="O28" s="52">
        <f t="shared" si="117"/>
        <v>1420.95</v>
      </c>
      <c r="P28" s="52">
        <f t="shared" si="117"/>
        <v>970</v>
      </c>
      <c r="Q28" s="52">
        <f t="shared" si="117"/>
        <v>787.15</v>
      </c>
      <c r="R28" s="52">
        <f t="shared" si="117"/>
        <v>348</v>
      </c>
      <c r="S28" s="53">
        <f t="shared" si="117"/>
        <v>40</v>
      </c>
      <c r="T28" s="51">
        <f t="shared" si="12"/>
        <v>16985.585</v>
      </c>
      <c r="U28" s="52">
        <f t="shared" ref="U28:Z28" si="118">U$2*N28/$T$3</f>
        <v>2795.1625</v>
      </c>
      <c r="V28" s="52">
        <f t="shared" si="118"/>
        <v>781.5225</v>
      </c>
      <c r="W28" s="52">
        <f t="shared" si="118"/>
        <v>2910</v>
      </c>
      <c r="X28" s="52">
        <f t="shared" si="118"/>
        <v>4722.9</v>
      </c>
      <c r="Y28" s="52">
        <f t="shared" si="118"/>
        <v>4176</v>
      </c>
      <c r="Z28" s="53">
        <f t="shared" si="118"/>
        <v>1600</v>
      </c>
      <c r="AA28" s="51">
        <f t="shared" si="14"/>
        <v>1057.19615</v>
      </c>
      <c r="AB28" s="52">
        <f t="shared" ref="AB28:AG28" si="119">AB$2*U28</f>
        <v>55.90325</v>
      </c>
      <c r="AC28" s="52">
        <f t="shared" si="119"/>
        <v>31.2609</v>
      </c>
      <c r="AD28" s="52">
        <f t="shared" si="119"/>
        <v>174.6</v>
      </c>
      <c r="AE28" s="52">
        <f t="shared" si="119"/>
        <v>377.832</v>
      </c>
      <c r="AF28" s="52">
        <f t="shared" si="119"/>
        <v>417.6</v>
      </c>
      <c r="AG28" s="53">
        <f t="shared" si="119"/>
        <v>0</v>
      </c>
      <c r="AH28" s="54">
        <f t="shared" si="16"/>
        <v>552.239338</v>
      </c>
      <c r="AI28" s="52">
        <f t="shared" ref="AI28:AN28" si="120">+AB28*AI$2*AI$5</f>
        <v>51.43099</v>
      </c>
      <c r="AJ28" s="52">
        <f t="shared" si="120"/>
        <v>28.760028</v>
      </c>
      <c r="AK28" s="52">
        <f t="shared" si="120"/>
        <v>144.5688</v>
      </c>
      <c r="AL28" s="52">
        <f t="shared" si="120"/>
        <v>173.80272</v>
      </c>
      <c r="AM28" s="52">
        <f t="shared" si="120"/>
        <v>153.6768</v>
      </c>
      <c r="AN28" s="52">
        <f t="shared" si="120"/>
        <v>0</v>
      </c>
      <c r="AO28" s="51">
        <f t="shared" si="18"/>
        <v>324.6165</v>
      </c>
      <c r="AP28" s="52">
        <f t="shared" ref="AP28:AU28" si="121">+(AB28*1000)/AP$2</f>
        <v>111.8065</v>
      </c>
      <c r="AQ28" s="52">
        <f t="shared" si="121"/>
        <v>56.838</v>
      </c>
      <c r="AR28" s="52">
        <f t="shared" si="121"/>
        <v>58.2</v>
      </c>
      <c r="AS28" s="52">
        <f t="shared" si="121"/>
        <v>62.972</v>
      </c>
      <c r="AT28" s="52">
        <f t="shared" si="121"/>
        <v>34.8</v>
      </c>
      <c r="AU28" s="53">
        <f t="shared" si="121"/>
        <v>0</v>
      </c>
    </row>
    <row r="29" ht="14.25" customHeight="1" outlineLevel="1">
      <c r="A29" s="47" t="s">
        <v>58</v>
      </c>
      <c r="B29" s="62">
        <v>3.0</v>
      </c>
      <c r="C29" s="63">
        <f t="shared" si="3"/>
        <v>0.03090720416</v>
      </c>
      <c r="D29" s="64">
        <f t="shared" si="46"/>
        <v>46341</v>
      </c>
      <c r="E29" s="62">
        <v>36.0</v>
      </c>
      <c r="F29" s="51">
        <f t="shared" si="9"/>
        <v>201868</v>
      </c>
      <c r="G29" s="52">
        <v>192235.0</v>
      </c>
      <c r="H29" s="52">
        <v>5133.0</v>
      </c>
      <c r="I29" s="52">
        <v>2699.0</v>
      </c>
      <c r="J29" s="52">
        <v>1492.0</v>
      </c>
      <c r="K29" s="52">
        <v>279.0</v>
      </c>
      <c r="L29" s="53">
        <v>30.0</v>
      </c>
      <c r="M29" s="51">
        <f t="shared" si="10"/>
        <v>6891.025</v>
      </c>
      <c r="N29" s="52">
        <f t="shared" ref="N29:S29" si="122">N$2*G29</f>
        <v>4805.875</v>
      </c>
      <c r="O29" s="52">
        <f t="shared" si="122"/>
        <v>769.95</v>
      </c>
      <c r="P29" s="52">
        <f t="shared" si="122"/>
        <v>539.8</v>
      </c>
      <c r="Q29" s="52">
        <f t="shared" si="122"/>
        <v>522.2</v>
      </c>
      <c r="R29" s="52">
        <f t="shared" si="122"/>
        <v>223.2</v>
      </c>
      <c r="S29" s="53">
        <f t="shared" si="122"/>
        <v>30</v>
      </c>
      <c r="T29" s="51">
        <f t="shared" si="12"/>
        <v>11457.41</v>
      </c>
      <c r="U29" s="52">
        <f t="shared" ref="U29:Z29" si="123">U$2*N29/$T$3</f>
        <v>2402.9375</v>
      </c>
      <c r="V29" s="52">
        <f t="shared" si="123"/>
        <v>423.4725</v>
      </c>
      <c r="W29" s="52">
        <f t="shared" si="123"/>
        <v>1619.4</v>
      </c>
      <c r="X29" s="52">
        <f t="shared" si="123"/>
        <v>3133.2</v>
      </c>
      <c r="Y29" s="52">
        <f t="shared" si="123"/>
        <v>2678.4</v>
      </c>
      <c r="Z29" s="53">
        <f t="shared" si="123"/>
        <v>1200</v>
      </c>
      <c r="AA29" s="51">
        <f t="shared" si="14"/>
        <v>680.65765</v>
      </c>
      <c r="AB29" s="52">
        <f t="shared" ref="AB29:AG29" si="124">AB$2*U29</f>
        <v>48.05875</v>
      </c>
      <c r="AC29" s="52">
        <f t="shared" si="124"/>
        <v>16.9389</v>
      </c>
      <c r="AD29" s="52">
        <f t="shared" si="124"/>
        <v>97.164</v>
      </c>
      <c r="AE29" s="52">
        <f t="shared" si="124"/>
        <v>250.656</v>
      </c>
      <c r="AF29" s="52">
        <f t="shared" si="124"/>
        <v>267.84</v>
      </c>
      <c r="AG29" s="53">
        <f t="shared" si="124"/>
        <v>0</v>
      </c>
      <c r="AH29" s="54">
        <f t="shared" si="16"/>
        <v>354.11651</v>
      </c>
      <c r="AI29" s="52">
        <f t="shared" ref="AI29:AN29" si="125">+AB29*AI$2*AI$5</f>
        <v>44.21405</v>
      </c>
      <c r="AJ29" s="52">
        <f t="shared" si="125"/>
        <v>15.583788</v>
      </c>
      <c r="AK29" s="52">
        <f t="shared" si="125"/>
        <v>80.451792</v>
      </c>
      <c r="AL29" s="52">
        <f t="shared" si="125"/>
        <v>115.30176</v>
      </c>
      <c r="AM29" s="52">
        <f t="shared" si="125"/>
        <v>98.56512</v>
      </c>
      <c r="AN29" s="52">
        <f t="shared" si="125"/>
        <v>0</v>
      </c>
      <c r="AO29" s="51">
        <f t="shared" si="18"/>
        <v>223.3995</v>
      </c>
      <c r="AP29" s="52">
        <f t="shared" ref="AP29:AU29" si="126">+(AB29*1000)/AP$2</f>
        <v>96.1175</v>
      </c>
      <c r="AQ29" s="52">
        <f t="shared" si="126"/>
        <v>30.798</v>
      </c>
      <c r="AR29" s="52">
        <f t="shared" si="126"/>
        <v>32.388</v>
      </c>
      <c r="AS29" s="52">
        <f t="shared" si="126"/>
        <v>41.776</v>
      </c>
      <c r="AT29" s="52">
        <f t="shared" si="126"/>
        <v>22.32</v>
      </c>
      <c r="AU29" s="53">
        <f t="shared" si="126"/>
        <v>0</v>
      </c>
    </row>
    <row r="30" ht="14.25" customHeight="1" outlineLevel="1">
      <c r="A30" s="47" t="s">
        <v>59</v>
      </c>
      <c r="B30" s="55">
        <v>4.0</v>
      </c>
      <c r="C30" s="56">
        <f t="shared" si="3"/>
        <v>0.03142845681</v>
      </c>
      <c r="D30" s="57">
        <f t="shared" si="46"/>
        <v>46351</v>
      </c>
      <c r="E30" s="55">
        <v>36.0</v>
      </c>
      <c r="F30" s="51">
        <f t="shared" si="9"/>
        <v>470174</v>
      </c>
      <c r="G30" s="58">
        <v>439152.0</v>
      </c>
      <c r="H30" s="58">
        <v>16680.0</v>
      </c>
      <c r="I30" s="58">
        <v>9482.0</v>
      </c>
      <c r="J30" s="58">
        <v>3958.0</v>
      </c>
      <c r="K30" s="58">
        <v>802.0</v>
      </c>
      <c r="L30" s="59">
        <v>100.0</v>
      </c>
      <c r="M30" s="60">
        <f t="shared" si="10"/>
        <v>17504.1</v>
      </c>
      <c r="N30" s="58">
        <f t="shared" ref="N30:S30" si="127">N$2*G30</f>
        <v>10978.8</v>
      </c>
      <c r="O30" s="58">
        <f t="shared" si="127"/>
        <v>2502</v>
      </c>
      <c r="P30" s="58">
        <f t="shared" si="127"/>
        <v>1896.4</v>
      </c>
      <c r="Q30" s="58">
        <f t="shared" si="127"/>
        <v>1385.3</v>
      </c>
      <c r="R30" s="58">
        <f t="shared" si="127"/>
        <v>641.6</v>
      </c>
      <c r="S30" s="59">
        <f t="shared" si="127"/>
        <v>100</v>
      </c>
      <c r="T30" s="60">
        <f t="shared" si="12"/>
        <v>32565.7</v>
      </c>
      <c r="U30" s="58">
        <f t="shared" ref="U30:Z30" si="128">U$2*N30/$T$3</f>
        <v>5489.4</v>
      </c>
      <c r="V30" s="58">
        <f t="shared" si="128"/>
        <v>1376.1</v>
      </c>
      <c r="W30" s="58">
        <f t="shared" si="128"/>
        <v>5689.2</v>
      </c>
      <c r="X30" s="58">
        <f t="shared" si="128"/>
        <v>8311.8</v>
      </c>
      <c r="Y30" s="58">
        <f t="shared" si="128"/>
        <v>7699.2</v>
      </c>
      <c r="Z30" s="59">
        <f t="shared" si="128"/>
        <v>4000</v>
      </c>
      <c r="AA30" s="60">
        <f t="shared" si="14"/>
        <v>1941.048</v>
      </c>
      <c r="AB30" s="58">
        <f t="shared" ref="AB30:AG30" si="129">AB$2*U30</f>
        <v>109.788</v>
      </c>
      <c r="AC30" s="58">
        <f t="shared" si="129"/>
        <v>55.044</v>
      </c>
      <c r="AD30" s="58">
        <f t="shared" si="129"/>
        <v>341.352</v>
      </c>
      <c r="AE30" s="58">
        <f t="shared" si="129"/>
        <v>664.944</v>
      </c>
      <c r="AF30" s="58">
        <f t="shared" si="129"/>
        <v>769.92</v>
      </c>
      <c r="AG30" s="59">
        <f t="shared" si="129"/>
        <v>0</v>
      </c>
      <c r="AH30" s="61">
        <f t="shared" si="16"/>
        <v>1023.489696</v>
      </c>
      <c r="AI30" s="58">
        <f t="shared" ref="AI30:AN30" si="130">+AB30*AI$2*AI$5</f>
        <v>101.00496</v>
      </c>
      <c r="AJ30" s="58">
        <f t="shared" si="130"/>
        <v>50.64048</v>
      </c>
      <c r="AK30" s="58">
        <f t="shared" si="130"/>
        <v>282.639456</v>
      </c>
      <c r="AL30" s="58">
        <f t="shared" si="130"/>
        <v>305.87424</v>
      </c>
      <c r="AM30" s="58">
        <f t="shared" si="130"/>
        <v>283.33056</v>
      </c>
      <c r="AN30" s="58">
        <f t="shared" si="130"/>
        <v>0</v>
      </c>
      <c r="AO30" s="60">
        <f t="shared" si="18"/>
        <v>608.424</v>
      </c>
      <c r="AP30" s="52">
        <f t="shared" ref="AP30:AU30" si="131">+(AB30*1000)/AP$2</f>
        <v>219.576</v>
      </c>
      <c r="AQ30" s="52">
        <f t="shared" si="131"/>
        <v>100.08</v>
      </c>
      <c r="AR30" s="52">
        <f t="shared" si="131"/>
        <v>113.784</v>
      </c>
      <c r="AS30" s="52">
        <f t="shared" si="131"/>
        <v>110.824</v>
      </c>
      <c r="AT30" s="52">
        <f t="shared" si="131"/>
        <v>64.16</v>
      </c>
      <c r="AU30" s="53">
        <f t="shared" si="131"/>
        <v>0</v>
      </c>
    </row>
    <row r="31" ht="14.25" customHeight="1" outlineLevel="1">
      <c r="A31" s="47" t="s">
        <v>60</v>
      </c>
      <c r="B31" s="55">
        <v>4.0</v>
      </c>
      <c r="C31" s="56">
        <f t="shared" si="3"/>
        <v>0.03531662324</v>
      </c>
      <c r="D31" s="57">
        <f t="shared" si="46"/>
        <v>46361</v>
      </c>
      <c r="E31" s="55">
        <v>36.0</v>
      </c>
      <c r="F31" s="51">
        <f t="shared" si="9"/>
        <v>208647</v>
      </c>
      <c r="G31" s="58">
        <v>188539.0</v>
      </c>
      <c r="H31" s="58">
        <v>10786.0</v>
      </c>
      <c r="I31" s="58">
        <v>5517.0</v>
      </c>
      <c r="J31" s="58">
        <v>3114.0</v>
      </c>
      <c r="K31" s="58">
        <v>671.0</v>
      </c>
      <c r="L31" s="59">
        <v>20.0</v>
      </c>
      <c r="M31" s="60">
        <f t="shared" si="10"/>
        <v>9081.475</v>
      </c>
      <c r="N31" s="58">
        <f t="shared" ref="N31:S31" si="132">N$2*G31</f>
        <v>4713.475</v>
      </c>
      <c r="O31" s="58">
        <f t="shared" si="132"/>
        <v>1617.9</v>
      </c>
      <c r="P31" s="58">
        <f t="shared" si="132"/>
        <v>1103.4</v>
      </c>
      <c r="Q31" s="58">
        <f t="shared" si="132"/>
        <v>1089.9</v>
      </c>
      <c r="R31" s="58">
        <f t="shared" si="132"/>
        <v>536.8</v>
      </c>
      <c r="S31" s="59">
        <f t="shared" si="132"/>
        <v>20</v>
      </c>
      <c r="T31" s="60">
        <f t="shared" si="12"/>
        <v>20337.7825</v>
      </c>
      <c r="U31" s="58">
        <f t="shared" ref="U31:Z31" si="133">U$2*N31/$T$3</f>
        <v>2356.7375</v>
      </c>
      <c r="V31" s="58">
        <f t="shared" si="133"/>
        <v>889.845</v>
      </c>
      <c r="W31" s="58">
        <f t="shared" si="133"/>
        <v>3310.2</v>
      </c>
      <c r="X31" s="58">
        <f t="shared" si="133"/>
        <v>6539.4</v>
      </c>
      <c r="Y31" s="58">
        <f t="shared" si="133"/>
        <v>6441.6</v>
      </c>
      <c r="Z31" s="59">
        <f t="shared" si="133"/>
        <v>800</v>
      </c>
      <c r="AA31" s="60">
        <f t="shared" si="14"/>
        <v>1448.65255</v>
      </c>
      <c r="AB31" s="58">
        <f t="shared" ref="AB31:AG31" si="134">AB$2*U31</f>
        <v>47.13475</v>
      </c>
      <c r="AC31" s="58">
        <f t="shared" si="134"/>
        <v>35.5938</v>
      </c>
      <c r="AD31" s="58">
        <f t="shared" si="134"/>
        <v>198.612</v>
      </c>
      <c r="AE31" s="58">
        <f t="shared" si="134"/>
        <v>523.152</v>
      </c>
      <c r="AF31" s="58">
        <f t="shared" si="134"/>
        <v>644.16</v>
      </c>
      <c r="AG31" s="59">
        <f t="shared" si="134"/>
        <v>0</v>
      </c>
      <c r="AH31" s="61">
        <f t="shared" si="16"/>
        <v>718.261802</v>
      </c>
      <c r="AI31" s="58">
        <f t="shared" ref="AI31:AN31" si="135">+AB31*AI$2*AI$5</f>
        <v>43.36397</v>
      </c>
      <c r="AJ31" s="58">
        <f t="shared" si="135"/>
        <v>32.746296</v>
      </c>
      <c r="AK31" s="58">
        <f t="shared" si="135"/>
        <v>164.450736</v>
      </c>
      <c r="AL31" s="58">
        <f t="shared" si="135"/>
        <v>240.64992</v>
      </c>
      <c r="AM31" s="58">
        <f t="shared" si="135"/>
        <v>237.05088</v>
      </c>
      <c r="AN31" s="58">
        <f t="shared" si="135"/>
        <v>0</v>
      </c>
      <c r="AO31" s="60">
        <f t="shared" si="18"/>
        <v>366.0615</v>
      </c>
      <c r="AP31" s="52">
        <f t="shared" ref="AP31:AU31" si="136">+(AB31*1000)/AP$2</f>
        <v>94.2695</v>
      </c>
      <c r="AQ31" s="52">
        <f t="shared" si="136"/>
        <v>64.716</v>
      </c>
      <c r="AR31" s="52">
        <f t="shared" si="136"/>
        <v>66.204</v>
      </c>
      <c r="AS31" s="52">
        <f t="shared" si="136"/>
        <v>87.192</v>
      </c>
      <c r="AT31" s="52">
        <f t="shared" si="136"/>
        <v>53.68</v>
      </c>
      <c r="AU31" s="53">
        <f t="shared" si="136"/>
        <v>0</v>
      </c>
    </row>
    <row r="32" ht="14.25" customHeight="1" outlineLevel="1">
      <c r="A32" s="47" t="s">
        <v>61</v>
      </c>
      <c r="B32" s="55">
        <v>4.0</v>
      </c>
      <c r="C32" s="56">
        <f t="shared" si="3"/>
        <v>0.03309988385</v>
      </c>
      <c r="D32" s="57">
        <f t="shared" si="46"/>
        <v>46371</v>
      </c>
      <c r="E32" s="55">
        <v>36.0</v>
      </c>
      <c r="F32" s="51">
        <f t="shared" si="9"/>
        <v>146064</v>
      </c>
      <c r="G32" s="58">
        <v>137150.0</v>
      </c>
      <c r="H32" s="58">
        <v>4117.0</v>
      </c>
      <c r="I32" s="58">
        <v>3026.0</v>
      </c>
      <c r="J32" s="58">
        <v>1509.0</v>
      </c>
      <c r="K32" s="58">
        <v>242.0</v>
      </c>
      <c r="L32" s="59">
        <v>20.0</v>
      </c>
      <c r="M32" s="60">
        <f t="shared" si="10"/>
        <v>5393.25</v>
      </c>
      <c r="N32" s="58">
        <f t="shared" ref="N32:S32" si="137">N$2*G32</f>
        <v>3428.75</v>
      </c>
      <c r="O32" s="58">
        <f t="shared" si="137"/>
        <v>617.55</v>
      </c>
      <c r="P32" s="58">
        <f t="shared" si="137"/>
        <v>605.2</v>
      </c>
      <c r="Q32" s="58">
        <f t="shared" si="137"/>
        <v>528.15</v>
      </c>
      <c r="R32" s="58">
        <f t="shared" si="137"/>
        <v>193.6</v>
      </c>
      <c r="S32" s="59">
        <f t="shared" si="137"/>
        <v>20</v>
      </c>
      <c r="T32" s="60">
        <f t="shared" si="12"/>
        <v>10161.7275</v>
      </c>
      <c r="U32" s="58">
        <f t="shared" ref="U32:Z32" si="138">U$2*N32/$T$3</f>
        <v>1714.375</v>
      </c>
      <c r="V32" s="58">
        <f t="shared" si="138"/>
        <v>339.6525</v>
      </c>
      <c r="W32" s="58">
        <f t="shared" si="138"/>
        <v>1815.6</v>
      </c>
      <c r="X32" s="58">
        <f t="shared" si="138"/>
        <v>3168.9</v>
      </c>
      <c r="Y32" s="58">
        <f t="shared" si="138"/>
        <v>2323.2</v>
      </c>
      <c r="Z32" s="59">
        <f t="shared" si="138"/>
        <v>800</v>
      </c>
      <c r="AA32" s="60">
        <f t="shared" si="14"/>
        <v>642.6416</v>
      </c>
      <c r="AB32" s="58">
        <f t="shared" ref="AB32:AG32" si="139">AB$2*U32</f>
        <v>34.2875</v>
      </c>
      <c r="AC32" s="58">
        <f t="shared" si="139"/>
        <v>13.5861</v>
      </c>
      <c r="AD32" s="58">
        <f t="shared" si="139"/>
        <v>108.936</v>
      </c>
      <c r="AE32" s="58">
        <f t="shared" si="139"/>
        <v>253.512</v>
      </c>
      <c r="AF32" s="58">
        <f t="shared" si="139"/>
        <v>232.32</v>
      </c>
      <c r="AG32" s="59">
        <f t="shared" si="139"/>
        <v>0</v>
      </c>
      <c r="AH32" s="61">
        <f t="shared" si="16"/>
        <v>336.352</v>
      </c>
      <c r="AI32" s="58">
        <f t="shared" ref="AI32:AN32" si="140">+AB32*AI$2*AI$5</f>
        <v>31.5445</v>
      </c>
      <c r="AJ32" s="58">
        <f t="shared" si="140"/>
        <v>12.499212</v>
      </c>
      <c r="AK32" s="58">
        <f t="shared" si="140"/>
        <v>90.199008</v>
      </c>
      <c r="AL32" s="58">
        <f t="shared" si="140"/>
        <v>116.61552</v>
      </c>
      <c r="AM32" s="58">
        <f t="shared" si="140"/>
        <v>85.49376</v>
      </c>
      <c r="AN32" s="58">
        <f t="shared" si="140"/>
        <v>0</v>
      </c>
      <c r="AO32" s="60">
        <f t="shared" si="18"/>
        <v>191.201</v>
      </c>
      <c r="AP32" s="52">
        <f t="shared" ref="AP32:AU32" si="141">+(AB32*1000)/AP$2</f>
        <v>68.575</v>
      </c>
      <c r="AQ32" s="52">
        <f t="shared" si="141"/>
        <v>24.702</v>
      </c>
      <c r="AR32" s="52">
        <f t="shared" si="141"/>
        <v>36.312</v>
      </c>
      <c r="AS32" s="52">
        <f t="shared" si="141"/>
        <v>42.252</v>
      </c>
      <c r="AT32" s="52">
        <f t="shared" si="141"/>
        <v>19.36</v>
      </c>
      <c r="AU32" s="53">
        <f t="shared" si="141"/>
        <v>0</v>
      </c>
    </row>
    <row r="33" ht="14.25" customHeight="1" outlineLevel="1">
      <c r="A33" s="47" t="s">
        <v>62</v>
      </c>
      <c r="B33" s="55">
        <v>4.0</v>
      </c>
      <c r="C33" s="56">
        <f t="shared" si="3"/>
        <v>0.03468176547</v>
      </c>
      <c r="D33" s="57">
        <f t="shared" si="46"/>
        <v>46381</v>
      </c>
      <c r="E33" s="55">
        <v>36.0</v>
      </c>
      <c r="F33" s="51">
        <f t="shared" si="9"/>
        <v>84226</v>
      </c>
      <c r="G33" s="58">
        <v>75926.0</v>
      </c>
      <c r="H33" s="58">
        <v>3980.0</v>
      </c>
      <c r="I33" s="58">
        <v>2609.0</v>
      </c>
      <c r="J33" s="58">
        <v>1410.0</v>
      </c>
      <c r="K33" s="58">
        <v>286.0</v>
      </c>
      <c r="L33" s="59">
        <v>15.0</v>
      </c>
      <c r="M33" s="60">
        <f t="shared" si="10"/>
        <v>3754.25</v>
      </c>
      <c r="N33" s="58">
        <f t="shared" ref="N33:S33" si="142">N$2*G33</f>
        <v>1898.15</v>
      </c>
      <c r="O33" s="58">
        <f t="shared" si="142"/>
        <v>597</v>
      </c>
      <c r="P33" s="58">
        <f t="shared" si="142"/>
        <v>521.8</v>
      </c>
      <c r="Q33" s="58">
        <f t="shared" si="142"/>
        <v>493.5</v>
      </c>
      <c r="R33" s="58">
        <f t="shared" si="142"/>
        <v>228.8</v>
      </c>
      <c r="S33" s="59">
        <f t="shared" si="142"/>
        <v>15</v>
      </c>
      <c r="T33" s="60">
        <f t="shared" si="12"/>
        <v>9149.425</v>
      </c>
      <c r="U33" s="58">
        <f t="shared" ref="U33:Z33" si="143">U$2*N33/$T$3</f>
        <v>949.075</v>
      </c>
      <c r="V33" s="58">
        <f t="shared" si="143"/>
        <v>328.35</v>
      </c>
      <c r="W33" s="58">
        <f t="shared" si="143"/>
        <v>1565.4</v>
      </c>
      <c r="X33" s="58">
        <f t="shared" si="143"/>
        <v>2961</v>
      </c>
      <c r="Y33" s="58">
        <f t="shared" si="143"/>
        <v>2745.6</v>
      </c>
      <c r="Z33" s="59">
        <f t="shared" si="143"/>
        <v>600</v>
      </c>
      <c r="AA33" s="60">
        <f t="shared" si="14"/>
        <v>637.4795</v>
      </c>
      <c r="AB33" s="58">
        <f t="shared" ref="AB33:AG33" si="144">AB$2*U33</f>
        <v>18.9815</v>
      </c>
      <c r="AC33" s="58">
        <f t="shared" si="144"/>
        <v>13.134</v>
      </c>
      <c r="AD33" s="58">
        <f t="shared" si="144"/>
        <v>93.924</v>
      </c>
      <c r="AE33" s="58">
        <f t="shared" si="144"/>
        <v>236.88</v>
      </c>
      <c r="AF33" s="58">
        <f t="shared" si="144"/>
        <v>274.56</v>
      </c>
      <c r="AG33" s="59">
        <f t="shared" si="144"/>
        <v>0</v>
      </c>
      <c r="AH33" s="61">
        <f t="shared" si="16"/>
        <v>317.318212</v>
      </c>
      <c r="AI33" s="58">
        <f t="shared" ref="AI33:AN33" si="145">+AB33*AI$2*AI$5</f>
        <v>17.46298</v>
      </c>
      <c r="AJ33" s="58">
        <f t="shared" si="145"/>
        <v>12.08328</v>
      </c>
      <c r="AK33" s="58">
        <f t="shared" si="145"/>
        <v>77.769072</v>
      </c>
      <c r="AL33" s="58">
        <f t="shared" si="145"/>
        <v>108.9648</v>
      </c>
      <c r="AM33" s="58">
        <f t="shared" si="145"/>
        <v>101.03808</v>
      </c>
      <c r="AN33" s="58">
        <f t="shared" si="145"/>
        <v>0</v>
      </c>
      <c r="AO33" s="60">
        <f t="shared" si="18"/>
        <v>155.511</v>
      </c>
      <c r="AP33" s="52">
        <f t="shared" ref="AP33:AU33" si="146">+(AB33*1000)/AP$2</f>
        <v>37.963</v>
      </c>
      <c r="AQ33" s="52">
        <f t="shared" si="146"/>
        <v>23.88</v>
      </c>
      <c r="AR33" s="52">
        <f t="shared" si="146"/>
        <v>31.308</v>
      </c>
      <c r="AS33" s="52">
        <f t="shared" si="146"/>
        <v>39.48</v>
      </c>
      <c r="AT33" s="52">
        <f t="shared" si="146"/>
        <v>22.88</v>
      </c>
      <c r="AU33" s="53">
        <f t="shared" si="146"/>
        <v>0</v>
      </c>
    </row>
    <row r="34" ht="14.25" customHeight="1" outlineLevel="1">
      <c r="A34" s="47" t="s">
        <v>63</v>
      </c>
      <c r="B34" s="55">
        <v>4.0</v>
      </c>
      <c r="C34" s="56">
        <f t="shared" si="3"/>
        <v>0.0313640769</v>
      </c>
      <c r="D34" s="57">
        <f t="shared" si="46"/>
        <v>46391</v>
      </c>
      <c r="E34" s="55">
        <v>36.0</v>
      </c>
      <c r="F34" s="51">
        <f t="shared" si="9"/>
        <v>149643</v>
      </c>
      <c r="G34" s="58">
        <v>142421.0</v>
      </c>
      <c r="H34" s="58">
        <v>3646.0</v>
      </c>
      <c r="I34" s="58">
        <v>2321.0</v>
      </c>
      <c r="J34" s="58">
        <v>1065.0</v>
      </c>
      <c r="K34" s="58">
        <v>170.0</v>
      </c>
      <c r="L34" s="59">
        <v>20.0</v>
      </c>
      <c r="M34" s="60">
        <f t="shared" si="10"/>
        <v>5100.375</v>
      </c>
      <c r="N34" s="58">
        <f t="shared" ref="N34:S34" si="147">N$2*G34</f>
        <v>3560.525</v>
      </c>
      <c r="O34" s="58">
        <f t="shared" si="147"/>
        <v>546.9</v>
      </c>
      <c r="P34" s="58">
        <f t="shared" si="147"/>
        <v>464.2</v>
      </c>
      <c r="Q34" s="58">
        <f t="shared" si="147"/>
        <v>372.75</v>
      </c>
      <c r="R34" s="58">
        <f t="shared" si="147"/>
        <v>136</v>
      </c>
      <c r="S34" s="59">
        <f t="shared" si="147"/>
        <v>20</v>
      </c>
      <c r="T34" s="60">
        <f t="shared" si="12"/>
        <v>8142.1575</v>
      </c>
      <c r="U34" s="58">
        <f t="shared" ref="U34:Z34" si="148">U$2*N34/$T$3</f>
        <v>1780.2625</v>
      </c>
      <c r="V34" s="58">
        <f t="shared" si="148"/>
        <v>300.795</v>
      </c>
      <c r="W34" s="58">
        <f t="shared" si="148"/>
        <v>1392.6</v>
      </c>
      <c r="X34" s="58">
        <f t="shared" si="148"/>
        <v>2236.5</v>
      </c>
      <c r="Y34" s="58">
        <f t="shared" si="148"/>
        <v>1632</v>
      </c>
      <c r="Z34" s="59">
        <f t="shared" si="148"/>
        <v>800</v>
      </c>
      <c r="AA34" s="60">
        <f t="shared" si="14"/>
        <v>473.31305</v>
      </c>
      <c r="AB34" s="58">
        <f t="shared" ref="AB34:AG34" si="149">AB$2*U34</f>
        <v>35.60525</v>
      </c>
      <c r="AC34" s="58">
        <f t="shared" si="149"/>
        <v>12.0318</v>
      </c>
      <c r="AD34" s="58">
        <f t="shared" si="149"/>
        <v>83.556</v>
      </c>
      <c r="AE34" s="58">
        <f t="shared" si="149"/>
        <v>178.92</v>
      </c>
      <c r="AF34" s="58">
        <f t="shared" si="149"/>
        <v>163.2</v>
      </c>
      <c r="AG34" s="59">
        <f t="shared" si="149"/>
        <v>0</v>
      </c>
      <c r="AH34" s="61">
        <f t="shared" si="16"/>
        <v>255.371254</v>
      </c>
      <c r="AI34" s="58">
        <f t="shared" ref="AI34:AN34" si="150">+AB34*AI$2*AI$5</f>
        <v>32.75683</v>
      </c>
      <c r="AJ34" s="58">
        <f t="shared" si="150"/>
        <v>11.069256</v>
      </c>
      <c r="AK34" s="58">
        <f t="shared" si="150"/>
        <v>69.184368</v>
      </c>
      <c r="AL34" s="58">
        <f t="shared" si="150"/>
        <v>82.3032</v>
      </c>
      <c r="AM34" s="58">
        <f t="shared" si="150"/>
        <v>60.0576</v>
      </c>
      <c r="AN34" s="58">
        <f t="shared" si="150"/>
        <v>0</v>
      </c>
      <c r="AO34" s="60">
        <f t="shared" si="18"/>
        <v>164.3585</v>
      </c>
      <c r="AP34" s="52">
        <f t="shared" ref="AP34:AU34" si="151">+(AB34*1000)/AP$2</f>
        <v>71.2105</v>
      </c>
      <c r="AQ34" s="52">
        <f t="shared" si="151"/>
        <v>21.876</v>
      </c>
      <c r="AR34" s="52">
        <f t="shared" si="151"/>
        <v>27.852</v>
      </c>
      <c r="AS34" s="52">
        <f t="shared" si="151"/>
        <v>29.82</v>
      </c>
      <c r="AT34" s="52">
        <f t="shared" si="151"/>
        <v>13.6</v>
      </c>
      <c r="AU34" s="53">
        <f t="shared" si="151"/>
        <v>0</v>
      </c>
    </row>
    <row r="35" ht="14.25" customHeight="1" outlineLevel="1">
      <c r="A35" s="47" t="s">
        <v>64</v>
      </c>
      <c r="B35" s="55">
        <v>4.0</v>
      </c>
      <c r="C35" s="56">
        <f t="shared" si="3"/>
        <v>0.02453348747</v>
      </c>
      <c r="D35" s="57">
        <f t="shared" si="46"/>
        <v>46401</v>
      </c>
      <c r="E35" s="55">
        <v>36.0</v>
      </c>
      <c r="F35" s="51">
        <f t="shared" si="9"/>
        <v>42963</v>
      </c>
      <c r="G35" s="58">
        <v>37283.0</v>
      </c>
      <c r="H35" s="58">
        <v>2746.0</v>
      </c>
      <c r="I35" s="58">
        <v>1663.0</v>
      </c>
      <c r="J35" s="58">
        <v>943.0</v>
      </c>
      <c r="K35" s="58">
        <v>248.0</v>
      </c>
      <c r="L35" s="59">
        <v>80.0</v>
      </c>
      <c r="M35" s="60">
        <f t="shared" si="10"/>
        <v>2285.025</v>
      </c>
      <c r="N35" s="58">
        <f t="shared" ref="N35:S35" si="152">N$2*G35</f>
        <v>932.075</v>
      </c>
      <c r="O35" s="58">
        <f t="shared" si="152"/>
        <v>411.9</v>
      </c>
      <c r="P35" s="58">
        <f t="shared" si="152"/>
        <v>332.6</v>
      </c>
      <c r="Q35" s="58">
        <f t="shared" si="152"/>
        <v>330.05</v>
      </c>
      <c r="R35" s="58">
        <f t="shared" si="152"/>
        <v>198.4</v>
      </c>
      <c r="S35" s="59">
        <f t="shared" si="152"/>
        <v>80</v>
      </c>
      <c r="T35" s="60">
        <f t="shared" si="12"/>
        <v>9251.4825</v>
      </c>
      <c r="U35" s="58">
        <f t="shared" ref="U35:Z35" si="153">U$2*N35/$T$3</f>
        <v>466.0375</v>
      </c>
      <c r="V35" s="58">
        <f t="shared" si="153"/>
        <v>226.545</v>
      </c>
      <c r="W35" s="58">
        <f t="shared" si="153"/>
        <v>997.8</v>
      </c>
      <c r="X35" s="58">
        <f t="shared" si="153"/>
        <v>1980.3</v>
      </c>
      <c r="Y35" s="58">
        <f t="shared" si="153"/>
        <v>2380.8</v>
      </c>
      <c r="Z35" s="59">
        <f t="shared" si="153"/>
        <v>3200</v>
      </c>
      <c r="AA35" s="60">
        <f t="shared" si="14"/>
        <v>474.75455</v>
      </c>
      <c r="AB35" s="58">
        <f t="shared" ref="AB35:AG35" si="154">AB$2*U35</f>
        <v>9.32075</v>
      </c>
      <c r="AC35" s="58">
        <f t="shared" si="154"/>
        <v>9.0618</v>
      </c>
      <c r="AD35" s="58">
        <f t="shared" si="154"/>
        <v>59.868</v>
      </c>
      <c r="AE35" s="58">
        <f t="shared" si="154"/>
        <v>158.424</v>
      </c>
      <c r="AF35" s="58">
        <f t="shared" si="154"/>
        <v>238.08</v>
      </c>
      <c r="AG35" s="59">
        <f t="shared" si="154"/>
        <v>0</v>
      </c>
      <c r="AH35" s="61">
        <f t="shared" si="16"/>
        <v>226.97113</v>
      </c>
      <c r="AI35" s="58">
        <f t="shared" ref="AI35:AN35" si="155">+AB35*AI$2*AI$5</f>
        <v>8.57509</v>
      </c>
      <c r="AJ35" s="58">
        <f t="shared" si="155"/>
        <v>8.336856</v>
      </c>
      <c r="AK35" s="58">
        <f t="shared" si="155"/>
        <v>49.570704</v>
      </c>
      <c r="AL35" s="58">
        <f t="shared" si="155"/>
        <v>72.87504</v>
      </c>
      <c r="AM35" s="58">
        <f t="shared" si="155"/>
        <v>87.61344</v>
      </c>
      <c r="AN35" s="58">
        <f t="shared" si="155"/>
        <v>0</v>
      </c>
      <c r="AO35" s="60">
        <f t="shared" si="18"/>
        <v>101.3175</v>
      </c>
      <c r="AP35" s="52">
        <f t="shared" ref="AP35:AU35" si="156">+(AB35*1000)/AP$2</f>
        <v>18.6415</v>
      </c>
      <c r="AQ35" s="52">
        <f t="shared" si="156"/>
        <v>16.476</v>
      </c>
      <c r="AR35" s="52">
        <f t="shared" si="156"/>
        <v>19.956</v>
      </c>
      <c r="AS35" s="52">
        <f t="shared" si="156"/>
        <v>26.404</v>
      </c>
      <c r="AT35" s="52">
        <f t="shared" si="156"/>
        <v>19.84</v>
      </c>
      <c r="AU35" s="53">
        <f t="shared" si="156"/>
        <v>0</v>
      </c>
    </row>
    <row r="36" ht="14.25" customHeight="1" outlineLevel="1">
      <c r="A36" s="47" t="s">
        <v>65</v>
      </c>
      <c r="B36" s="55">
        <v>4.0</v>
      </c>
      <c r="C36" s="56">
        <f t="shared" si="3"/>
        <v>0.03407925224</v>
      </c>
      <c r="D36" s="57">
        <f t="shared" si="46"/>
        <v>46411</v>
      </c>
      <c r="E36" s="55">
        <v>36.0</v>
      </c>
      <c r="F36" s="51">
        <f t="shared" si="9"/>
        <v>68014</v>
      </c>
      <c r="G36" s="58">
        <v>62193.0</v>
      </c>
      <c r="H36" s="58">
        <v>3101.0</v>
      </c>
      <c r="I36" s="58">
        <v>1754.0</v>
      </c>
      <c r="J36" s="58">
        <v>797.0</v>
      </c>
      <c r="K36" s="58">
        <v>159.0</v>
      </c>
      <c r="L36" s="59">
        <v>10.0</v>
      </c>
      <c r="M36" s="60">
        <f t="shared" si="10"/>
        <v>2786.925</v>
      </c>
      <c r="N36" s="58">
        <f t="shared" ref="N36:S36" si="157">N$2*G36</f>
        <v>1554.825</v>
      </c>
      <c r="O36" s="58">
        <f t="shared" si="157"/>
        <v>465.15</v>
      </c>
      <c r="P36" s="58">
        <f t="shared" si="157"/>
        <v>350.8</v>
      </c>
      <c r="Q36" s="58">
        <f t="shared" si="157"/>
        <v>278.95</v>
      </c>
      <c r="R36" s="58">
        <f t="shared" si="157"/>
        <v>127.2</v>
      </c>
      <c r="S36" s="59">
        <f t="shared" si="157"/>
        <v>10</v>
      </c>
      <c r="T36" s="60">
        <f t="shared" si="12"/>
        <v>5685.745</v>
      </c>
      <c r="U36" s="58">
        <f t="shared" ref="U36:Z36" si="158">U$2*N36/$T$3</f>
        <v>777.4125</v>
      </c>
      <c r="V36" s="58">
        <f t="shared" si="158"/>
        <v>255.8325</v>
      </c>
      <c r="W36" s="58">
        <f t="shared" si="158"/>
        <v>1052.4</v>
      </c>
      <c r="X36" s="58">
        <f t="shared" si="158"/>
        <v>1673.7</v>
      </c>
      <c r="Y36" s="58">
        <f t="shared" si="158"/>
        <v>1526.4</v>
      </c>
      <c r="Z36" s="59">
        <f t="shared" si="158"/>
        <v>400</v>
      </c>
      <c r="AA36" s="60">
        <f t="shared" si="14"/>
        <v>375.46155</v>
      </c>
      <c r="AB36" s="58">
        <f t="shared" ref="AB36:AG36" si="159">AB$2*U36</f>
        <v>15.54825</v>
      </c>
      <c r="AC36" s="58">
        <f t="shared" si="159"/>
        <v>10.2333</v>
      </c>
      <c r="AD36" s="58">
        <f t="shared" si="159"/>
        <v>63.144</v>
      </c>
      <c r="AE36" s="58">
        <f t="shared" si="159"/>
        <v>133.896</v>
      </c>
      <c r="AF36" s="58">
        <f t="shared" si="159"/>
        <v>152.64</v>
      </c>
      <c r="AG36" s="59">
        <f t="shared" si="159"/>
        <v>0</v>
      </c>
      <c r="AH36" s="61">
        <f t="shared" si="16"/>
        <v>193.765938</v>
      </c>
      <c r="AI36" s="58">
        <f t="shared" ref="AI36:AN36" si="160">+AB36*AI$2*AI$5</f>
        <v>14.30439</v>
      </c>
      <c r="AJ36" s="58">
        <f t="shared" si="160"/>
        <v>9.414636</v>
      </c>
      <c r="AK36" s="58">
        <f t="shared" si="160"/>
        <v>52.283232</v>
      </c>
      <c r="AL36" s="58">
        <f t="shared" si="160"/>
        <v>61.59216</v>
      </c>
      <c r="AM36" s="58">
        <f t="shared" si="160"/>
        <v>56.17152</v>
      </c>
      <c r="AN36" s="58">
        <f t="shared" si="160"/>
        <v>0</v>
      </c>
      <c r="AO36" s="60">
        <f t="shared" si="18"/>
        <v>105.7865</v>
      </c>
      <c r="AP36" s="52">
        <f t="shared" ref="AP36:AU36" si="161">+(AB36*1000)/AP$2</f>
        <v>31.0965</v>
      </c>
      <c r="AQ36" s="52">
        <f t="shared" si="161"/>
        <v>18.606</v>
      </c>
      <c r="AR36" s="52">
        <f t="shared" si="161"/>
        <v>21.048</v>
      </c>
      <c r="AS36" s="52">
        <f t="shared" si="161"/>
        <v>22.316</v>
      </c>
      <c r="AT36" s="52">
        <f t="shared" si="161"/>
        <v>12.72</v>
      </c>
      <c r="AU36" s="53">
        <f t="shared" si="161"/>
        <v>0</v>
      </c>
    </row>
    <row r="37" ht="14.25" customHeight="1" outlineLevel="1">
      <c r="A37" s="47" t="s">
        <v>66</v>
      </c>
      <c r="B37" s="55">
        <v>4.0</v>
      </c>
      <c r="C37" s="56">
        <f t="shared" si="3"/>
        <v>0.03296635294</v>
      </c>
      <c r="D37" s="57">
        <f t="shared" si="46"/>
        <v>46421</v>
      </c>
      <c r="E37" s="55">
        <v>36.0</v>
      </c>
      <c r="F37" s="51">
        <f t="shared" si="9"/>
        <v>91004</v>
      </c>
      <c r="G37" s="58">
        <v>84963.0</v>
      </c>
      <c r="H37" s="58">
        <v>3480.0</v>
      </c>
      <c r="I37" s="58">
        <v>1630.0</v>
      </c>
      <c r="J37" s="58">
        <v>789.0</v>
      </c>
      <c r="K37" s="58">
        <v>132.0</v>
      </c>
      <c r="L37" s="59">
        <v>10.0</v>
      </c>
      <c r="M37" s="60">
        <f t="shared" si="10"/>
        <v>3363.825</v>
      </c>
      <c r="N37" s="58">
        <f t="shared" ref="N37:S37" si="162">N$2*G37</f>
        <v>2124.075</v>
      </c>
      <c r="O37" s="58">
        <f t="shared" si="162"/>
        <v>522</v>
      </c>
      <c r="P37" s="58">
        <f t="shared" si="162"/>
        <v>326</v>
      </c>
      <c r="Q37" s="58">
        <f t="shared" si="162"/>
        <v>276.15</v>
      </c>
      <c r="R37" s="58">
        <f t="shared" si="162"/>
        <v>105.6</v>
      </c>
      <c r="S37" s="59">
        <f t="shared" si="162"/>
        <v>10</v>
      </c>
      <c r="T37" s="60">
        <f t="shared" si="12"/>
        <v>5651.2375</v>
      </c>
      <c r="U37" s="58">
        <f t="shared" ref="U37:Z37" si="163">U$2*N37/$T$3</f>
        <v>1062.0375</v>
      </c>
      <c r="V37" s="58">
        <f t="shared" si="163"/>
        <v>287.1</v>
      </c>
      <c r="W37" s="58">
        <f t="shared" si="163"/>
        <v>978</v>
      </c>
      <c r="X37" s="58">
        <f t="shared" si="163"/>
        <v>1656.9</v>
      </c>
      <c r="Y37" s="58">
        <f t="shared" si="163"/>
        <v>1267.2</v>
      </c>
      <c r="Z37" s="59">
        <f t="shared" si="163"/>
        <v>400</v>
      </c>
      <c r="AA37" s="60">
        <f t="shared" si="14"/>
        <v>350.67675</v>
      </c>
      <c r="AB37" s="58">
        <f t="shared" ref="AB37:AG37" si="164">AB$2*U37</f>
        <v>21.24075</v>
      </c>
      <c r="AC37" s="58">
        <f t="shared" si="164"/>
        <v>11.484</v>
      </c>
      <c r="AD37" s="58">
        <f t="shared" si="164"/>
        <v>58.68</v>
      </c>
      <c r="AE37" s="58">
        <f t="shared" si="164"/>
        <v>132.552</v>
      </c>
      <c r="AF37" s="58">
        <f t="shared" si="164"/>
        <v>126.72</v>
      </c>
      <c r="AG37" s="59">
        <f t="shared" si="164"/>
        <v>0</v>
      </c>
      <c r="AH37" s="61">
        <f t="shared" si="16"/>
        <v>186.30069</v>
      </c>
      <c r="AI37" s="58">
        <f t="shared" ref="AI37:AN37" si="165">+AB37*AI$2*AI$5</f>
        <v>19.54149</v>
      </c>
      <c r="AJ37" s="58">
        <f t="shared" si="165"/>
        <v>10.56528</v>
      </c>
      <c r="AK37" s="58">
        <f t="shared" si="165"/>
        <v>48.58704</v>
      </c>
      <c r="AL37" s="58">
        <f t="shared" si="165"/>
        <v>60.97392</v>
      </c>
      <c r="AM37" s="58">
        <f t="shared" si="165"/>
        <v>46.63296</v>
      </c>
      <c r="AN37" s="58">
        <f t="shared" si="165"/>
        <v>0</v>
      </c>
      <c r="AO37" s="60">
        <f t="shared" si="18"/>
        <v>115.5735</v>
      </c>
      <c r="AP37" s="52">
        <f t="shared" ref="AP37:AU37" si="166">+(AB37*1000)/AP$2</f>
        <v>42.4815</v>
      </c>
      <c r="AQ37" s="52">
        <f t="shared" si="166"/>
        <v>20.88</v>
      </c>
      <c r="AR37" s="52">
        <f t="shared" si="166"/>
        <v>19.56</v>
      </c>
      <c r="AS37" s="52">
        <f t="shared" si="166"/>
        <v>22.092</v>
      </c>
      <c r="AT37" s="52">
        <f t="shared" si="166"/>
        <v>10.56</v>
      </c>
      <c r="AU37" s="53">
        <f t="shared" si="166"/>
        <v>0</v>
      </c>
    </row>
    <row r="38" ht="14.25" customHeight="1" outlineLevel="1">
      <c r="A38" s="47" t="s">
        <v>67</v>
      </c>
      <c r="B38" s="55">
        <v>4.0</v>
      </c>
      <c r="C38" s="56">
        <f t="shared" si="3"/>
        <v>0.03232993217</v>
      </c>
      <c r="D38" s="57">
        <f t="shared" si="46"/>
        <v>46431</v>
      </c>
      <c r="E38" s="55">
        <v>36.0</v>
      </c>
      <c r="F38" s="51">
        <f t="shared" si="9"/>
        <v>54162</v>
      </c>
      <c r="G38" s="58">
        <v>50747.0</v>
      </c>
      <c r="H38" s="58">
        <v>1696.0</v>
      </c>
      <c r="I38" s="58">
        <v>1053.0</v>
      </c>
      <c r="J38" s="58">
        <v>536.0</v>
      </c>
      <c r="K38" s="58">
        <v>120.0</v>
      </c>
      <c r="L38" s="59">
        <v>10.0</v>
      </c>
      <c r="M38" s="60">
        <f t="shared" si="10"/>
        <v>2027.275</v>
      </c>
      <c r="N38" s="58">
        <f t="shared" ref="N38:S38" si="167">N$2*G38</f>
        <v>1268.675</v>
      </c>
      <c r="O38" s="58">
        <f t="shared" si="167"/>
        <v>254.4</v>
      </c>
      <c r="P38" s="58">
        <f t="shared" si="167"/>
        <v>210.6</v>
      </c>
      <c r="Q38" s="58">
        <f t="shared" si="167"/>
        <v>187.6</v>
      </c>
      <c r="R38" s="58">
        <f t="shared" si="167"/>
        <v>96</v>
      </c>
      <c r="S38" s="59">
        <f t="shared" si="167"/>
        <v>10</v>
      </c>
      <c r="T38" s="60">
        <f t="shared" si="12"/>
        <v>4083.6575</v>
      </c>
      <c r="U38" s="58">
        <f t="shared" ref="U38:Z38" si="168">U$2*N38/$T$3</f>
        <v>634.3375</v>
      </c>
      <c r="V38" s="58">
        <f t="shared" si="168"/>
        <v>139.92</v>
      </c>
      <c r="W38" s="58">
        <f t="shared" si="168"/>
        <v>631.8</v>
      </c>
      <c r="X38" s="58">
        <f t="shared" si="168"/>
        <v>1125.6</v>
      </c>
      <c r="Y38" s="58">
        <f t="shared" si="168"/>
        <v>1152</v>
      </c>
      <c r="Z38" s="59">
        <f t="shared" si="168"/>
        <v>400</v>
      </c>
      <c r="AA38" s="60">
        <f t="shared" si="14"/>
        <v>261.43955</v>
      </c>
      <c r="AB38" s="58">
        <f t="shared" ref="AB38:AG38" si="169">AB$2*U38</f>
        <v>12.68675</v>
      </c>
      <c r="AC38" s="58">
        <f t="shared" si="169"/>
        <v>5.5968</v>
      </c>
      <c r="AD38" s="58">
        <f t="shared" si="169"/>
        <v>37.908</v>
      </c>
      <c r="AE38" s="58">
        <f t="shared" si="169"/>
        <v>90.048</v>
      </c>
      <c r="AF38" s="58">
        <f t="shared" si="169"/>
        <v>115.2</v>
      </c>
      <c r="AG38" s="59">
        <f t="shared" si="169"/>
        <v>0</v>
      </c>
      <c r="AH38" s="61">
        <f t="shared" si="16"/>
        <v>132.02437</v>
      </c>
      <c r="AI38" s="58">
        <f t="shared" ref="AI38:AN38" si="170">+AB38*AI$2*AI$5</f>
        <v>11.67181</v>
      </c>
      <c r="AJ38" s="58">
        <f t="shared" si="170"/>
        <v>5.149056</v>
      </c>
      <c r="AK38" s="58">
        <f t="shared" si="170"/>
        <v>31.387824</v>
      </c>
      <c r="AL38" s="58">
        <f t="shared" si="170"/>
        <v>41.42208</v>
      </c>
      <c r="AM38" s="58">
        <f t="shared" si="170"/>
        <v>42.3936</v>
      </c>
      <c r="AN38" s="58">
        <f t="shared" si="170"/>
        <v>0</v>
      </c>
      <c r="AO38" s="60">
        <f t="shared" si="18"/>
        <v>72.7935</v>
      </c>
      <c r="AP38" s="52">
        <f t="shared" ref="AP38:AU38" si="171">+(AB38*1000)/AP$2</f>
        <v>25.3735</v>
      </c>
      <c r="AQ38" s="52">
        <f t="shared" si="171"/>
        <v>10.176</v>
      </c>
      <c r="AR38" s="52">
        <f t="shared" si="171"/>
        <v>12.636</v>
      </c>
      <c r="AS38" s="52">
        <f t="shared" si="171"/>
        <v>15.008</v>
      </c>
      <c r="AT38" s="52">
        <f t="shared" si="171"/>
        <v>9.6</v>
      </c>
      <c r="AU38" s="53">
        <f t="shared" si="171"/>
        <v>0</v>
      </c>
    </row>
    <row r="39" ht="14.25" customHeight="1" outlineLevel="1">
      <c r="A39" s="47" t="s">
        <v>68</v>
      </c>
      <c r="B39" s="55">
        <v>4.0</v>
      </c>
      <c r="C39" s="56">
        <f t="shared" si="3"/>
        <v>0.03080186255</v>
      </c>
      <c r="D39" s="57">
        <f t="shared" si="46"/>
        <v>46441</v>
      </c>
      <c r="E39" s="55">
        <v>36.0</v>
      </c>
      <c r="F39" s="65">
        <f t="shared" si="9"/>
        <v>45579</v>
      </c>
      <c r="G39" s="66">
        <v>43034.0</v>
      </c>
      <c r="H39" s="66">
        <v>1259.0</v>
      </c>
      <c r="I39" s="66">
        <v>849.0</v>
      </c>
      <c r="J39" s="66">
        <v>352.0</v>
      </c>
      <c r="K39" s="66">
        <v>75.0</v>
      </c>
      <c r="L39" s="67">
        <v>10.0</v>
      </c>
      <c r="M39" s="68">
        <f t="shared" si="10"/>
        <v>1627.7</v>
      </c>
      <c r="N39" s="66">
        <f t="shared" ref="N39:S39" si="172">N$2*G39</f>
        <v>1075.85</v>
      </c>
      <c r="O39" s="66">
        <f t="shared" si="172"/>
        <v>188.85</v>
      </c>
      <c r="P39" s="66">
        <f t="shared" si="172"/>
        <v>169.8</v>
      </c>
      <c r="Q39" s="66">
        <f t="shared" si="172"/>
        <v>123.2</v>
      </c>
      <c r="R39" s="66">
        <f t="shared" si="172"/>
        <v>60</v>
      </c>
      <c r="S39" s="67">
        <f t="shared" si="172"/>
        <v>10</v>
      </c>
      <c r="T39" s="69">
        <f t="shared" si="12"/>
        <v>3010.3925</v>
      </c>
      <c r="U39" s="66">
        <f t="shared" ref="U39:Z39" si="173">U$2*N39/$T$3</f>
        <v>537.925</v>
      </c>
      <c r="V39" s="66">
        <f t="shared" si="173"/>
        <v>103.8675</v>
      </c>
      <c r="W39" s="66">
        <f t="shared" si="173"/>
        <v>509.4</v>
      </c>
      <c r="X39" s="66">
        <f t="shared" si="173"/>
        <v>739.2</v>
      </c>
      <c r="Y39" s="66">
        <f t="shared" si="173"/>
        <v>720</v>
      </c>
      <c r="Z39" s="67">
        <f t="shared" si="173"/>
        <v>400</v>
      </c>
      <c r="AA39" s="68">
        <f t="shared" si="14"/>
        <v>176.6132</v>
      </c>
      <c r="AB39" s="66">
        <f t="shared" ref="AB39:AG39" si="174">AB$2*U39</f>
        <v>10.7585</v>
      </c>
      <c r="AC39" s="66">
        <f t="shared" si="174"/>
        <v>4.1547</v>
      </c>
      <c r="AD39" s="66">
        <f t="shared" si="174"/>
        <v>30.564</v>
      </c>
      <c r="AE39" s="66">
        <f t="shared" si="174"/>
        <v>59.136</v>
      </c>
      <c r="AF39" s="66">
        <f t="shared" si="174"/>
        <v>72</v>
      </c>
      <c r="AG39" s="67">
        <f t="shared" si="174"/>
        <v>0</v>
      </c>
      <c r="AH39" s="70">
        <f t="shared" si="16"/>
        <v>92.725696</v>
      </c>
      <c r="AI39" s="66">
        <f t="shared" ref="AI39:AN39" si="175">+AB39*AI$2*AI$5</f>
        <v>9.89782</v>
      </c>
      <c r="AJ39" s="66">
        <f t="shared" si="175"/>
        <v>3.822324</v>
      </c>
      <c r="AK39" s="66">
        <f t="shared" si="175"/>
        <v>25.306992</v>
      </c>
      <c r="AL39" s="66">
        <f t="shared" si="175"/>
        <v>27.20256</v>
      </c>
      <c r="AM39" s="66">
        <f t="shared" si="175"/>
        <v>26.496</v>
      </c>
      <c r="AN39" s="66">
        <f t="shared" si="175"/>
        <v>0</v>
      </c>
      <c r="AO39" s="68">
        <f t="shared" si="18"/>
        <v>55.115</v>
      </c>
      <c r="AP39" s="71">
        <f t="shared" ref="AP39:AU39" si="176">+(AB39*1000)/AP$2</f>
        <v>21.517</v>
      </c>
      <c r="AQ39" s="71">
        <f t="shared" si="176"/>
        <v>7.554</v>
      </c>
      <c r="AR39" s="71">
        <f t="shared" si="176"/>
        <v>10.188</v>
      </c>
      <c r="AS39" s="71">
        <f t="shared" si="176"/>
        <v>9.856</v>
      </c>
      <c r="AT39" s="71">
        <f t="shared" si="176"/>
        <v>6</v>
      </c>
      <c r="AU39" s="72">
        <f t="shared" si="176"/>
        <v>0</v>
      </c>
    </row>
    <row r="40" ht="14.25" customHeight="1">
      <c r="B40" s="8"/>
      <c r="C40" s="8"/>
      <c r="D40" s="8"/>
      <c r="E40" s="8"/>
      <c r="F40" s="1"/>
      <c r="T40" s="1"/>
      <c r="U40" s="4"/>
      <c r="V40" s="4"/>
      <c r="W40" s="4"/>
      <c r="X40" s="4"/>
      <c r="Y40" s="4"/>
      <c r="Z40" s="5"/>
      <c r="AA40" s="1"/>
      <c r="AH40" s="1"/>
      <c r="AO40" s="1"/>
    </row>
    <row r="41" ht="14.25" customHeight="1">
      <c r="B41" s="8"/>
      <c r="C41" s="8"/>
      <c r="D41" s="8"/>
      <c r="E41" s="8"/>
      <c r="F41" s="1"/>
      <c r="T41" s="1"/>
      <c r="U41" s="13"/>
      <c r="V41" s="14"/>
      <c r="W41" s="14"/>
      <c r="X41" s="14"/>
      <c r="Y41" s="14"/>
      <c r="Z41" s="15"/>
      <c r="AA41" s="1"/>
      <c r="AH41" s="1"/>
      <c r="AO41" s="1"/>
    </row>
    <row r="42" ht="14.25" customHeight="1">
      <c r="B42" s="8"/>
      <c r="C42" s="8"/>
      <c r="D42" s="8"/>
      <c r="E42" s="8"/>
      <c r="F42" s="1"/>
      <c r="T42" s="1"/>
      <c r="U42" s="25"/>
      <c r="V42" s="25"/>
      <c r="W42" s="25"/>
      <c r="X42" s="25"/>
      <c r="Y42" s="25"/>
      <c r="Z42" s="27"/>
      <c r="AA42" s="1"/>
      <c r="AH42" s="1"/>
      <c r="AO42" s="1"/>
    </row>
    <row r="43" ht="14.25" customHeight="1">
      <c r="B43" s="8"/>
      <c r="C43" s="8"/>
      <c r="D43" s="8"/>
      <c r="E43" s="8"/>
      <c r="F43" s="1"/>
      <c r="T43" s="73"/>
      <c r="U43" s="25"/>
      <c r="V43" s="25"/>
      <c r="W43" s="25"/>
      <c r="X43" s="25"/>
      <c r="Y43" s="25"/>
      <c r="Z43" s="27"/>
      <c r="AA43" s="1"/>
      <c r="AH43" s="1"/>
      <c r="AO43" s="1"/>
    </row>
    <row r="44" ht="14.25" customHeight="1">
      <c r="B44" s="8"/>
      <c r="C44" s="8"/>
      <c r="D44" s="8"/>
      <c r="E44" s="8"/>
      <c r="F44" s="1"/>
      <c r="T44" s="73"/>
      <c r="U44" s="25"/>
      <c r="V44" s="25"/>
      <c r="W44" s="25"/>
      <c r="X44" s="25"/>
      <c r="Y44" s="25"/>
      <c r="Z44" s="27"/>
      <c r="AA44" s="1"/>
      <c r="AH44" s="1"/>
      <c r="AO44" s="1"/>
    </row>
    <row r="45" ht="14.25" customHeight="1">
      <c r="B45" s="8"/>
      <c r="C45" s="8"/>
      <c r="D45" s="8"/>
      <c r="E45" s="8"/>
      <c r="F45" s="1"/>
      <c r="T45" s="74"/>
      <c r="U45" s="44"/>
      <c r="V45" s="44"/>
      <c r="W45" s="44"/>
      <c r="X45" s="44"/>
      <c r="Y45" s="44"/>
      <c r="Z45" s="45"/>
      <c r="AA45" s="1"/>
      <c r="AH45" s="1"/>
      <c r="AO45" s="1"/>
    </row>
    <row r="46" ht="14.25" customHeight="1">
      <c r="B46" s="8"/>
      <c r="C46" s="8"/>
      <c r="D46" s="8"/>
      <c r="E46" s="8"/>
      <c r="F46" s="1"/>
      <c r="T46" s="74"/>
      <c r="U46" s="52"/>
      <c r="V46" s="52"/>
      <c r="W46" s="52"/>
      <c r="X46" s="52"/>
      <c r="Y46" s="52"/>
      <c r="Z46" s="53"/>
      <c r="AA46" s="1"/>
      <c r="AH46" s="1"/>
      <c r="AO46" s="1"/>
    </row>
    <row r="47" ht="14.25" customHeight="1">
      <c r="B47" s="8"/>
      <c r="C47" s="8"/>
      <c r="D47" s="8"/>
      <c r="E47" s="8"/>
      <c r="F47" s="1"/>
      <c r="T47" s="74"/>
      <c r="U47" s="52"/>
      <c r="V47" s="52"/>
      <c r="W47" s="52"/>
      <c r="X47" s="52"/>
      <c r="Y47" s="52"/>
      <c r="Z47" s="53"/>
      <c r="AA47" s="1"/>
      <c r="AH47" s="1"/>
      <c r="AO47" s="1"/>
    </row>
    <row r="48" ht="14.25" customHeight="1">
      <c r="B48" s="8"/>
      <c r="C48" s="8"/>
      <c r="D48" s="8"/>
      <c r="E48" s="8"/>
      <c r="F48" s="1"/>
      <c r="T48" s="74"/>
      <c r="U48" s="52"/>
      <c r="V48" s="52"/>
      <c r="W48" s="52"/>
      <c r="X48" s="52"/>
      <c r="Y48" s="52"/>
      <c r="Z48" s="53"/>
      <c r="AA48" s="1"/>
      <c r="AH48" s="1"/>
      <c r="AO48" s="1"/>
    </row>
    <row r="49" ht="14.25" customHeight="1">
      <c r="B49" s="8"/>
      <c r="C49" s="8"/>
      <c r="D49" s="8"/>
      <c r="E49" s="8"/>
      <c r="F49" s="1"/>
      <c r="T49" s="74"/>
      <c r="U49" s="52"/>
      <c r="V49" s="52"/>
      <c r="W49" s="52"/>
      <c r="X49" s="52"/>
      <c r="Y49" s="52"/>
      <c r="Z49" s="53"/>
      <c r="AA49" s="1"/>
      <c r="AH49" s="1"/>
      <c r="AO49" s="1"/>
    </row>
    <row r="50" ht="14.25" customHeight="1">
      <c r="B50" s="8"/>
      <c r="C50" s="8"/>
      <c r="D50" s="8"/>
      <c r="E50" s="8"/>
      <c r="F50" s="1"/>
      <c r="T50" s="74"/>
      <c r="U50" s="52"/>
      <c r="V50" s="52"/>
      <c r="W50" s="52"/>
      <c r="X50" s="52"/>
      <c r="Y50" s="52"/>
      <c r="Z50" s="53"/>
      <c r="AA50" s="1"/>
      <c r="AH50" s="1"/>
      <c r="AO50" s="1"/>
    </row>
    <row r="51" ht="14.25" customHeight="1">
      <c r="B51" s="8"/>
      <c r="C51" s="8"/>
      <c r="D51" s="8"/>
      <c r="E51" s="8"/>
      <c r="F51" s="1"/>
      <c r="T51" s="74"/>
      <c r="U51" s="58"/>
      <c r="V51" s="58"/>
      <c r="W51" s="58"/>
      <c r="X51" s="58"/>
      <c r="Y51" s="58"/>
      <c r="Z51" s="59"/>
      <c r="AA51" s="1"/>
      <c r="AH51" s="1"/>
      <c r="AO51" s="1"/>
    </row>
    <row r="52" ht="14.25" customHeight="1">
      <c r="B52" s="8"/>
      <c r="C52" s="8"/>
      <c r="D52" s="8"/>
      <c r="E52" s="8"/>
      <c r="F52" s="1"/>
      <c r="T52" s="74"/>
      <c r="U52" s="58"/>
      <c r="V52" s="58"/>
      <c r="W52" s="58"/>
      <c r="X52" s="58"/>
      <c r="Y52" s="58"/>
      <c r="Z52" s="59"/>
      <c r="AA52" s="1"/>
      <c r="AH52" s="1"/>
      <c r="AO52" s="1"/>
    </row>
    <row r="53" ht="14.25" customHeight="1">
      <c r="B53" s="8"/>
      <c r="C53" s="8"/>
      <c r="D53" s="8"/>
      <c r="E53" s="8"/>
      <c r="F53" s="1"/>
      <c r="T53" s="74"/>
      <c r="U53" s="58"/>
      <c r="V53" s="58"/>
      <c r="W53" s="58"/>
      <c r="X53" s="58"/>
      <c r="Y53" s="58"/>
      <c r="Z53" s="59"/>
      <c r="AA53" s="1"/>
      <c r="AH53" s="1"/>
      <c r="AO53" s="1"/>
    </row>
    <row r="54" ht="14.25" customHeight="1">
      <c r="B54" s="8"/>
      <c r="C54" s="8"/>
      <c r="D54" s="8"/>
      <c r="E54" s="8"/>
      <c r="F54" s="1"/>
      <c r="T54" s="74"/>
      <c r="U54" s="58"/>
      <c r="V54" s="58"/>
      <c r="W54" s="58"/>
      <c r="X54" s="58"/>
      <c r="Y54" s="58"/>
      <c r="Z54" s="59"/>
      <c r="AA54" s="1"/>
      <c r="AH54" s="1"/>
      <c r="AO54" s="1"/>
    </row>
    <row r="55" ht="14.25" customHeight="1">
      <c r="B55" s="8"/>
      <c r="C55" s="8"/>
      <c r="D55" s="8"/>
      <c r="E55" s="8"/>
      <c r="F55" s="1"/>
      <c r="T55" s="74"/>
      <c r="U55" s="58"/>
      <c r="V55" s="58"/>
      <c r="W55" s="58"/>
      <c r="X55" s="58"/>
      <c r="Y55" s="58"/>
      <c r="Z55" s="59"/>
      <c r="AA55" s="1"/>
      <c r="AH55" s="1"/>
      <c r="AO55" s="1"/>
    </row>
    <row r="56" ht="14.25" customHeight="1">
      <c r="B56" s="8"/>
      <c r="C56" s="8"/>
      <c r="D56" s="8"/>
      <c r="E56" s="8"/>
      <c r="F56" s="1"/>
      <c r="T56" s="74"/>
      <c r="U56" s="58"/>
      <c r="V56" s="58"/>
      <c r="W56" s="58"/>
      <c r="X56" s="58"/>
      <c r="Y56" s="58"/>
      <c r="Z56" s="59"/>
      <c r="AA56" s="1"/>
      <c r="AH56" s="1"/>
      <c r="AO56" s="1"/>
    </row>
    <row r="57" ht="14.25" customHeight="1">
      <c r="B57" s="8"/>
      <c r="C57" s="8"/>
      <c r="D57" s="8"/>
      <c r="E57" s="8"/>
      <c r="F57" s="1"/>
      <c r="T57" s="74"/>
      <c r="U57" s="58"/>
      <c r="V57" s="58"/>
      <c r="W57" s="58"/>
      <c r="X57" s="58"/>
      <c r="Y57" s="58"/>
      <c r="Z57" s="59"/>
      <c r="AA57" s="1"/>
      <c r="AH57" s="1"/>
      <c r="AO57" s="1"/>
    </row>
    <row r="58" ht="14.25" customHeight="1">
      <c r="B58" s="8"/>
      <c r="C58" s="8"/>
      <c r="D58" s="8"/>
      <c r="E58" s="8"/>
      <c r="F58" s="1"/>
      <c r="T58" s="74"/>
      <c r="U58" s="58"/>
      <c r="V58" s="58"/>
      <c r="W58" s="58"/>
      <c r="X58" s="58"/>
      <c r="Y58" s="58"/>
      <c r="Z58" s="59"/>
      <c r="AA58" s="1"/>
      <c r="AH58" s="1"/>
      <c r="AO58" s="1"/>
    </row>
    <row r="59" ht="14.25" customHeight="1">
      <c r="B59" s="8"/>
      <c r="C59" s="8"/>
      <c r="D59" s="8"/>
      <c r="E59" s="8"/>
      <c r="F59" s="1"/>
      <c r="T59" s="74"/>
      <c r="U59" s="52"/>
      <c r="V59" s="52"/>
      <c r="W59" s="52"/>
      <c r="X59" s="52"/>
      <c r="Y59" s="52"/>
      <c r="Z59" s="53"/>
      <c r="AA59" s="1"/>
      <c r="AH59" s="1"/>
      <c r="AO59" s="1"/>
    </row>
    <row r="60" ht="14.25" customHeight="1">
      <c r="B60" s="8"/>
      <c r="C60" s="8"/>
      <c r="D60" s="8"/>
      <c r="E60" s="8"/>
      <c r="F60" s="1"/>
      <c r="T60" s="74"/>
      <c r="U60" s="52"/>
      <c r="V60" s="52"/>
      <c r="W60" s="52"/>
      <c r="X60" s="52"/>
      <c r="Y60" s="52"/>
      <c r="Z60" s="53"/>
      <c r="AA60" s="1"/>
      <c r="AH60" s="1"/>
      <c r="AO60" s="1"/>
    </row>
    <row r="61" ht="14.25" customHeight="1">
      <c r="B61" s="8"/>
      <c r="C61" s="8"/>
      <c r="D61" s="8"/>
      <c r="E61" s="8"/>
      <c r="F61" s="1"/>
      <c r="T61" s="74"/>
      <c r="U61" s="52"/>
      <c r="V61" s="52"/>
      <c r="W61" s="52"/>
      <c r="X61" s="52"/>
      <c r="Y61" s="52"/>
      <c r="Z61" s="53"/>
      <c r="AA61" s="1"/>
      <c r="AH61" s="1"/>
      <c r="AO61" s="1"/>
    </row>
    <row r="62" ht="14.25" customHeight="1">
      <c r="B62" s="8"/>
      <c r="C62" s="8"/>
      <c r="D62" s="8"/>
      <c r="E62" s="8"/>
      <c r="F62" s="1"/>
      <c r="T62" s="74"/>
      <c r="U62" s="52"/>
      <c r="V62" s="52"/>
      <c r="W62" s="52"/>
      <c r="X62" s="52"/>
      <c r="Y62" s="52"/>
      <c r="Z62" s="53"/>
      <c r="AA62" s="1"/>
      <c r="AH62" s="1"/>
      <c r="AO62" s="1"/>
    </row>
    <row r="63" ht="14.25" customHeight="1">
      <c r="B63" s="8"/>
      <c r="C63" s="8"/>
      <c r="D63" s="8"/>
      <c r="E63" s="8"/>
      <c r="F63" s="1"/>
      <c r="T63" s="74"/>
      <c r="U63" s="52"/>
      <c r="V63" s="52"/>
      <c r="W63" s="52"/>
      <c r="X63" s="52"/>
      <c r="Y63" s="52"/>
      <c r="Z63" s="53"/>
      <c r="AA63" s="1"/>
      <c r="AH63" s="1"/>
      <c r="AO63" s="1"/>
    </row>
    <row r="64" ht="14.25" customHeight="1">
      <c r="B64" s="8"/>
      <c r="C64" s="8"/>
      <c r="D64" s="8"/>
      <c r="E64" s="8"/>
      <c r="F64" s="1"/>
      <c r="T64" s="74"/>
      <c r="U64" s="52"/>
      <c r="V64" s="52"/>
      <c r="W64" s="52"/>
      <c r="X64" s="52"/>
      <c r="Y64" s="52"/>
      <c r="Z64" s="53"/>
      <c r="AA64" s="1"/>
      <c r="AH64" s="1"/>
      <c r="AO64" s="1"/>
    </row>
    <row r="65" ht="14.25" customHeight="1">
      <c r="B65" s="8"/>
      <c r="C65" s="8"/>
      <c r="D65" s="8"/>
      <c r="E65" s="8"/>
      <c r="F65" s="1"/>
      <c r="T65" s="74"/>
      <c r="U65" s="52"/>
      <c r="V65" s="52"/>
      <c r="W65" s="52"/>
      <c r="X65" s="52"/>
      <c r="Y65" s="52"/>
      <c r="Z65" s="53"/>
      <c r="AA65" s="1"/>
      <c r="AH65" s="1"/>
      <c r="AO65" s="1"/>
    </row>
    <row r="66" ht="14.25" customHeight="1">
      <c r="B66" s="8"/>
      <c r="C66" s="8"/>
      <c r="D66" s="8"/>
      <c r="E66" s="8"/>
      <c r="F66" s="1"/>
      <c r="T66" s="74"/>
      <c r="U66" s="52"/>
      <c r="V66" s="52"/>
      <c r="W66" s="52"/>
      <c r="X66" s="52"/>
      <c r="Y66" s="52"/>
      <c r="Z66" s="53"/>
      <c r="AA66" s="1"/>
      <c r="AH66" s="1"/>
      <c r="AO66" s="1"/>
    </row>
    <row r="67" ht="14.25" customHeight="1">
      <c r="B67" s="8"/>
      <c r="C67" s="8"/>
      <c r="D67" s="8"/>
      <c r="E67" s="8"/>
      <c r="F67" s="1"/>
      <c r="T67" s="74"/>
      <c r="U67" s="52"/>
      <c r="V67" s="52"/>
      <c r="W67" s="52"/>
      <c r="X67" s="52"/>
      <c r="Y67" s="52"/>
      <c r="Z67" s="53"/>
      <c r="AA67" s="1"/>
      <c r="AH67" s="1"/>
      <c r="AO67" s="1"/>
    </row>
    <row r="68" ht="14.25" customHeight="1">
      <c r="B68" s="8"/>
      <c r="C68" s="8"/>
      <c r="D68" s="8"/>
      <c r="E68" s="8"/>
      <c r="F68" s="1"/>
      <c r="T68" s="74"/>
      <c r="U68" s="52"/>
      <c r="V68" s="52"/>
      <c r="W68" s="52"/>
      <c r="X68" s="52"/>
      <c r="Y68" s="52"/>
      <c r="Z68" s="53"/>
      <c r="AA68" s="1"/>
      <c r="AH68" s="1"/>
      <c r="AO68" s="1"/>
    </row>
    <row r="69" ht="14.25" customHeight="1">
      <c r="B69" s="8"/>
      <c r="C69" s="8"/>
      <c r="D69" s="8"/>
      <c r="E69" s="8"/>
      <c r="F69" s="1"/>
      <c r="T69" s="74"/>
      <c r="U69" s="58"/>
      <c r="V69" s="58"/>
      <c r="W69" s="58"/>
      <c r="X69" s="58"/>
      <c r="Y69" s="58"/>
      <c r="Z69" s="59"/>
      <c r="AA69" s="1"/>
      <c r="AH69" s="1"/>
      <c r="AO69" s="1"/>
    </row>
    <row r="70" ht="14.25" customHeight="1">
      <c r="B70" s="8"/>
      <c r="C70" s="8"/>
      <c r="D70" s="8"/>
      <c r="E70" s="8"/>
      <c r="F70" s="1"/>
      <c r="T70" s="74"/>
      <c r="U70" s="58"/>
      <c r="V70" s="58"/>
      <c r="W70" s="58"/>
      <c r="X70" s="58"/>
      <c r="Y70" s="58"/>
      <c r="Z70" s="59"/>
      <c r="AA70" s="1"/>
      <c r="AH70" s="1"/>
      <c r="AO70" s="1"/>
    </row>
    <row r="71" ht="14.25" customHeight="1">
      <c r="B71" s="8"/>
      <c r="C71" s="8"/>
      <c r="D71" s="8"/>
      <c r="E71" s="8"/>
      <c r="F71" s="1"/>
      <c r="T71" s="74"/>
      <c r="U71" s="58"/>
      <c r="V71" s="58"/>
      <c r="W71" s="58"/>
      <c r="X71" s="58"/>
      <c r="Y71" s="58"/>
      <c r="Z71" s="59"/>
      <c r="AA71" s="1"/>
      <c r="AH71" s="1"/>
      <c r="AO71" s="1"/>
    </row>
    <row r="72" ht="14.25" customHeight="1">
      <c r="B72" s="8"/>
      <c r="C72" s="8"/>
      <c r="D72" s="8"/>
      <c r="E72" s="8"/>
      <c r="F72" s="1"/>
      <c r="T72" s="74"/>
      <c r="U72" s="58"/>
      <c r="V72" s="58"/>
      <c r="W72" s="58"/>
      <c r="X72" s="58"/>
      <c r="Y72" s="58"/>
      <c r="Z72" s="59"/>
      <c r="AA72" s="1"/>
      <c r="AH72" s="1"/>
      <c r="AO72" s="1"/>
    </row>
    <row r="73" ht="14.25" customHeight="1">
      <c r="B73" s="8"/>
      <c r="C73" s="8"/>
      <c r="D73" s="8"/>
      <c r="E73" s="8"/>
      <c r="F73" s="1"/>
      <c r="T73" s="74"/>
      <c r="U73" s="58"/>
      <c r="V73" s="58"/>
      <c r="W73" s="58"/>
      <c r="X73" s="58"/>
      <c r="Y73" s="58"/>
      <c r="Z73" s="59"/>
      <c r="AA73" s="1"/>
      <c r="AH73" s="1"/>
      <c r="AO73" s="1"/>
    </row>
    <row r="74" ht="14.25" customHeight="1">
      <c r="B74" s="8"/>
      <c r="C74" s="8"/>
      <c r="D74" s="8"/>
      <c r="E74" s="8"/>
      <c r="F74" s="1"/>
      <c r="T74" s="74"/>
      <c r="U74" s="58"/>
      <c r="V74" s="58"/>
      <c r="W74" s="58"/>
      <c r="X74" s="58"/>
      <c r="Y74" s="58"/>
      <c r="Z74" s="59"/>
      <c r="AA74" s="1"/>
      <c r="AH74" s="1"/>
      <c r="AO74" s="1"/>
    </row>
    <row r="75" ht="14.25" customHeight="1">
      <c r="B75" s="8"/>
      <c r="C75" s="8"/>
      <c r="D75" s="8"/>
      <c r="E75" s="8"/>
      <c r="F75" s="1"/>
      <c r="T75" s="74"/>
      <c r="U75" s="58"/>
      <c r="V75" s="58"/>
      <c r="W75" s="58"/>
      <c r="X75" s="58"/>
      <c r="Y75" s="58"/>
      <c r="Z75" s="59"/>
      <c r="AA75" s="1"/>
      <c r="AH75" s="1"/>
      <c r="AO75" s="1"/>
    </row>
    <row r="76" ht="14.25" customHeight="1">
      <c r="B76" s="8"/>
      <c r="C76" s="8"/>
      <c r="D76" s="8"/>
      <c r="E76" s="8"/>
      <c r="F76" s="1"/>
      <c r="T76" s="74"/>
      <c r="U76" s="58"/>
      <c r="V76" s="58"/>
      <c r="W76" s="58"/>
      <c r="X76" s="58"/>
      <c r="Y76" s="58"/>
      <c r="Z76" s="59"/>
      <c r="AA76" s="1"/>
      <c r="AH76" s="1"/>
      <c r="AO76" s="1"/>
    </row>
    <row r="77" ht="14.25" customHeight="1">
      <c r="B77" s="8"/>
      <c r="C77" s="8"/>
      <c r="D77" s="8"/>
      <c r="E77" s="8"/>
      <c r="F77" s="1"/>
      <c r="T77" s="74"/>
      <c r="U77" s="58"/>
      <c r="V77" s="58"/>
      <c r="W77" s="58"/>
      <c r="X77" s="58"/>
      <c r="Y77" s="58"/>
      <c r="Z77" s="59"/>
      <c r="AA77" s="1"/>
      <c r="AH77" s="1"/>
      <c r="AO77" s="1"/>
    </row>
    <row r="78" ht="14.25" customHeight="1">
      <c r="B78" s="8"/>
      <c r="C78" s="8"/>
      <c r="D78" s="8"/>
      <c r="E78" s="8"/>
      <c r="F78" s="1"/>
      <c r="T78" s="74"/>
      <c r="U78" s="66"/>
      <c r="V78" s="66"/>
      <c r="W78" s="66"/>
      <c r="X78" s="66"/>
      <c r="Y78" s="66"/>
      <c r="Z78" s="67"/>
      <c r="AA78" s="1"/>
      <c r="AH78" s="1"/>
      <c r="AO78" s="1"/>
    </row>
    <row r="79" ht="14.25" customHeight="1">
      <c r="B79" s="8"/>
      <c r="C79" s="8"/>
      <c r="D79" s="8"/>
      <c r="E79" s="8"/>
      <c r="F79" s="1"/>
      <c r="T79" s="1"/>
      <c r="U79" s="4"/>
      <c r="V79" s="4"/>
      <c r="W79" s="4"/>
      <c r="X79" s="4"/>
      <c r="Y79" s="4"/>
      <c r="Z79" s="5"/>
      <c r="AA79" s="1"/>
      <c r="AH79" s="1"/>
      <c r="AO79" s="1"/>
    </row>
    <row r="80" ht="14.25" customHeight="1">
      <c r="B80" s="8"/>
      <c r="C80" s="8"/>
      <c r="D80" s="8"/>
      <c r="E80" s="8"/>
      <c r="F80" s="1"/>
      <c r="T80" s="1"/>
      <c r="U80" s="13"/>
      <c r="V80" s="14"/>
      <c r="W80" s="14"/>
      <c r="X80" s="14"/>
      <c r="Y80" s="14"/>
      <c r="Z80" s="15"/>
      <c r="AA80" s="1"/>
      <c r="AH80" s="1"/>
      <c r="AO80" s="1"/>
    </row>
    <row r="81" ht="14.25" customHeight="1">
      <c r="B81" s="8"/>
      <c r="C81" s="8"/>
      <c r="D81" s="8"/>
      <c r="E81" s="8"/>
      <c r="F81" s="1"/>
      <c r="T81" s="1"/>
      <c r="U81" s="25"/>
      <c r="V81" s="25"/>
      <c r="W81" s="25"/>
      <c r="X81" s="25"/>
      <c r="Y81" s="25"/>
      <c r="Z81" s="27"/>
      <c r="AA81" s="1"/>
      <c r="AH81" s="1"/>
      <c r="AO81" s="1"/>
    </row>
    <row r="82" ht="14.25" customHeight="1">
      <c r="B82" s="8"/>
      <c r="C82" s="8"/>
      <c r="D82" s="8"/>
      <c r="E82" s="8"/>
      <c r="F82" s="1"/>
      <c r="T82" s="73"/>
      <c r="U82" s="25"/>
      <c r="V82" s="25"/>
      <c r="W82" s="25"/>
      <c r="X82" s="25"/>
      <c r="Y82" s="25"/>
      <c r="Z82" s="27"/>
      <c r="AA82" s="1"/>
      <c r="AH82" s="1"/>
      <c r="AO82" s="1"/>
    </row>
    <row r="83" ht="14.25" customHeight="1">
      <c r="B83" s="8"/>
      <c r="C83" s="8"/>
      <c r="D83" s="8"/>
      <c r="E83" s="8"/>
      <c r="F83" s="1"/>
      <c r="T83" s="73"/>
      <c r="U83" s="25"/>
      <c r="V83" s="25"/>
      <c r="W83" s="25"/>
      <c r="X83" s="25"/>
      <c r="Y83" s="25"/>
      <c r="Z83" s="27"/>
      <c r="AA83" s="1"/>
      <c r="AH83" s="1"/>
      <c r="AO83" s="1"/>
    </row>
    <row r="84" ht="14.25" customHeight="1">
      <c r="B84" s="8"/>
      <c r="C84" s="8"/>
      <c r="D84" s="8"/>
      <c r="E84" s="8"/>
      <c r="F84" s="1"/>
      <c r="T84" s="74"/>
      <c r="U84" s="44"/>
      <c r="V84" s="44"/>
      <c r="W84" s="44"/>
      <c r="X84" s="44"/>
      <c r="Y84" s="44"/>
      <c r="Z84" s="45"/>
      <c r="AA84" s="1"/>
      <c r="AH84" s="1"/>
      <c r="AO84" s="1"/>
    </row>
    <row r="85" ht="14.25" customHeight="1">
      <c r="B85" s="8"/>
      <c r="C85" s="8"/>
      <c r="D85" s="8"/>
      <c r="E85" s="8"/>
      <c r="F85" s="1"/>
      <c r="T85" s="74"/>
      <c r="U85" s="52"/>
      <c r="V85" s="52"/>
      <c r="W85" s="52"/>
      <c r="X85" s="52"/>
      <c r="Y85" s="52"/>
      <c r="Z85" s="53"/>
      <c r="AA85" s="1"/>
      <c r="AH85" s="1"/>
      <c r="AO85" s="1"/>
    </row>
    <row r="86" ht="14.25" customHeight="1">
      <c r="B86" s="8"/>
      <c r="C86" s="8"/>
      <c r="D86" s="8"/>
      <c r="E86" s="8"/>
      <c r="F86" s="1"/>
      <c r="T86" s="74"/>
      <c r="U86" s="52"/>
      <c r="V86" s="52"/>
      <c r="W86" s="52"/>
      <c r="X86" s="52"/>
      <c r="Y86" s="52"/>
      <c r="Z86" s="53"/>
      <c r="AA86" s="1"/>
      <c r="AH86" s="1"/>
      <c r="AO86" s="1"/>
    </row>
    <row r="87" ht="14.25" customHeight="1">
      <c r="B87" s="8"/>
      <c r="C87" s="8"/>
      <c r="D87" s="8"/>
      <c r="E87" s="8"/>
      <c r="F87" s="1"/>
      <c r="T87" s="74"/>
      <c r="U87" s="52"/>
      <c r="V87" s="52"/>
      <c r="W87" s="52"/>
      <c r="X87" s="52"/>
      <c r="Y87" s="52"/>
      <c r="Z87" s="53"/>
      <c r="AA87" s="1"/>
      <c r="AH87" s="1"/>
      <c r="AO87" s="1"/>
    </row>
    <row r="88" ht="14.25" customHeight="1">
      <c r="B88" s="8"/>
      <c r="C88" s="8"/>
      <c r="D88" s="8"/>
      <c r="E88" s="8"/>
      <c r="F88" s="1"/>
      <c r="T88" s="74"/>
      <c r="U88" s="52"/>
      <c r="V88" s="52"/>
      <c r="W88" s="52"/>
      <c r="X88" s="52"/>
      <c r="Y88" s="52"/>
      <c r="Z88" s="53"/>
      <c r="AA88" s="1"/>
      <c r="AH88" s="1"/>
      <c r="AO88" s="1"/>
    </row>
    <row r="89" ht="14.25" customHeight="1">
      <c r="B89" s="8"/>
      <c r="C89" s="8"/>
      <c r="D89" s="8"/>
      <c r="E89" s="8"/>
      <c r="F89" s="1"/>
      <c r="T89" s="74"/>
      <c r="U89" s="52"/>
      <c r="V89" s="52"/>
      <c r="W89" s="52"/>
      <c r="X89" s="52"/>
      <c r="Y89" s="52"/>
      <c r="Z89" s="53"/>
      <c r="AA89" s="1"/>
      <c r="AH89" s="1"/>
      <c r="AO89" s="1"/>
    </row>
    <row r="90" ht="14.25" customHeight="1">
      <c r="B90" s="8"/>
      <c r="C90" s="8"/>
      <c r="D90" s="8"/>
      <c r="E90" s="8"/>
      <c r="F90" s="1"/>
      <c r="T90" s="74"/>
      <c r="U90" s="58"/>
      <c r="V90" s="58"/>
      <c r="W90" s="58"/>
      <c r="X90" s="58"/>
      <c r="Y90" s="58"/>
      <c r="Z90" s="59"/>
      <c r="AA90" s="1"/>
      <c r="AH90" s="1"/>
      <c r="AO90" s="1"/>
    </row>
    <row r="91" ht="14.25" customHeight="1">
      <c r="B91" s="8"/>
      <c r="C91" s="8"/>
      <c r="D91" s="8"/>
      <c r="E91" s="8"/>
      <c r="F91" s="1"/>
      <c r="T91" s="74"/>
      <c r="U91" s="58"/>
      <c r="V91" s="58"/>
      <c r="W91" s="58"/>
      <c r="X91" s="58"/>
      <c r="Y91" s="58"/>
      <c r="Z91" s="59"/>
      <c r="AA91" s="1"/>
      <c r="AH91" s="1"/>
      <c r="AO91" s="1"/>
    </row>
    <row r="92" ht="14.25" customHeight="1">
      <c r="B92" s="8"/>
      <c r="C92" s="8"/>
      <c r="D92" s="8"/>
      <c r="E92" s="8"/>
      <c r="F92" s="1"/>
      <c r="T92" s="74"/>
      <c r="U92" s="58"/>
      <c r="V92" s="58"/>
      <c r="W92" s="58"/>
      <c r="X92" s="58"/>
      <c r="Y92" s="58"/>
      <c r="Z92" s="59"/>
      <c r="AA92" s="1"/>
      <c r="AH92" s="1"/>
      <c r="AO92" s="1"/>
    </row>
    <row r="93" ht="14.25" customHeight="1">
      <c r="B93" s="8"/>
      <c r="C93" s="8"/>
      <c r="D93" s="8"/>
      <c r="E93" s="8"/>
      <c r="F93" s="1"/>
      <c r="T93" s="74"/>
      <c r="U93" s="58"/>
      <c r="V93" s="58"/>
      <c r="W93" s="58"/>
      <c r="X93" s="58"/>
      <c r="Y93" s="58"/>
      <c r="Z93" s="59"/>
      <c r="AA93" s="1"/>
      <c r="AH93" s="1"/>
      <c r="AO93" s="1"/>
    </row>
    <row r="94" ht="14.25" customHeight="1">
      <c r="B94" s="8"/>
      <c r="C94" s="8"/>
      <c r="D94" s="8"/>
      <c r="E94" s="8"/>
      <c r="F94" s="1"/>
      <c r="T94" s="74"/>
      <c r="U94" s="58"/>
      <c r="V94" s="58"/>
      <c r="W94" s="58"/>
      <c r="X94" s="58"/>
      <c r="Y94" s="58"/>
      <c r="Z94" s="59"/>
      <c r="AA94" s="1"/>
      <c r="AH94" s="1"/>
      <c r="AO94" s="1"/>
    </row>
    <row r="95" ht="14.25" customHeight="1">
      <c r="B95" s="8"/>
      <c r="C95" s="8"/>
      <c r="D95" s="8"/>
      <c r="E95" s="8"/>
      <c r="F95" s="1"/>
      <c r="T95" s="74"/>
      <c r="U95" s="58"/>
      <c r="V95" s="58"/>
      <c r="W95" s="58"/>
      <c r="X95" s="58"/>
      <c r="Y95" s="58"/>
      <c r="Z95" s="59"/>
      <c r="AA95" s="1"/>
      <c r="AH95" s="1"/>
      <c r="AO95" s="1"/>
    </row>
    <row r="96" ht="14.25" customHeight="1">
      <c r="B96" s="8"/>
      <c r="C96" s="8"/>
      <c r="D96" s="8"/>
      <c r="E96" s="8"/>
      <c r="F96" s="1"/>
      <c r="T96" s="74"/>
      <c r="U96" s="58"/>
      <c r="V96" s="58"/>
      <c r="W96" s="58"/>
      <c r="X96" s="58"/>
      <c r="Y96" s="58"/>
      <c r="Z96" s="59"/>
      <c r="AA96" s="1"/>
      <c r="AH96" s="1"/>
      <c r="AO96" s="1"/>
    </row>
    <row r="97" ht="14.25" customHeight="1">
      <c r="B97" s="8"/>
      <c r="C97" s="8"/>
      <c r="D97" s="8"/>
      <c r="E97" s="8"/>
      <c r="F97" s="1"/>
      <c r="T97" s="74"/>
      <c r="U97" s="58"/>
      <c r="V97" s="58"/>
      <c r="W97" s="58"/>
      <c r="X97" s="58"/>
      <c r="Y97" s="58"/>
      <c r="Z97" s="59"/>
      <c r="AA97" s="1"/>
      <c r="AH97" s="1"/>
      <c r="AO97" s="1"/>
    </row>
    <row r="98" ht="14.25" customHeight="1">
      <c r="B98" s="8"/>
      <c r="C98" s="8"/>
      <c r="D98" s="8"/>
      <c r="E98" s="8"/>
      <c r="F98" s="1"/>
      <c r="T98" s="74"/>
      <c r="U98" s="52"/>
      <c r="V98" s="52"/>
      <c r="W98" s="52"/>
      <c r="X98" s="52"/>
      <c r="Y98" s="52"/>
      <c r="Z98" s="53"/>
      <c r="AA98" s="1"/>
      <c r="AH98" s="1"/>
      <c r="AO98" s="1"/>
    </row>
    <row r="99" ht="14.25" customHeight="1">
      <c r="B99" s="8"/>
      <c r="C99" s="8"/>
      <c r="D99" s="8"/>
      <c r="E99" s="8"/>
      <c r="F99" s="1"/>
      <c r="T99" s="74"/>
      <c r="U99" s="52"/>
      <c r="V99" s="52"/>
      <c r="W99" s="52"/>
      <c r="X99" s="52"/>
      <c r="Y99" s="52"/>
      <c r="Z99" s="53"/>
      <c r="AA99" s="1"/>
      <c r="AH99" s="1"/>
      <c r="AO99" s="1"/>
    </row>
    <row r="100" ht="14.25" customHeight="1">
      <c r="B100" s="8"/>
      <c r="C100" s="8"/>
      <c r="D100" s="8"/>
      <c r="E100" s="8"/>
      <c r="F100" s="1"/>
      <c r="T100" s="74"/>
      <c r="U100" s="52"/>
      <c r="V100" s="52"/>
      <c r="W100" s="52"/>
      <c r="X100" s="52"/>
      <c r="Y100" s="52"/>
      <c r="Z100" s="53"/>
      <c r="AA100" s="1"/>
      <c r="AH100" s="1"/>
      <c r="AO100" s="1"/>
    </row>
    <row r="101" ht="14.25" customHeight="1">
      <c r="B101" s="8"/>
      <c r="C101" s="8"/>
      <c r="D101" s="8"/>
      <c r="E101" s="8"/>
      <c r="F101" s="1"/>
      <c r="T101" s="74"/>
      <c r="U101" s="52"/>
      <c r="V101" s="52"/>
      <c r="W101" s="52"/>
      <c r="X101" s="52"/>
      <c r="Y101" s="52"/>
      <c r="Z101" s="53"/>
      <c r="AA101" s="1"/>
      <c r="AH101" s="1"/>
      <c r="AO101" s="1"/>
    </row>
    <row r="102" ht="14.25" customHeight="1">
      <c r="B102" s="8"/>
      <c r="C102" s="8"/>
      <c r="D102" s="8"/>
      <c r="E102" s="8"/>
      <c r="F102" s="1"/>
      <c r="T102" s="74"/>
      <c r="U102" s="52"/>
      <c r="V102" s="52"/>
      <c r="W102" s="52"/>
      <c r="X102" s="52"/>
      <c r="Y102" s="52"/>
      <c r="Z102" s="53"/>
      <c r="AA102" s="1"/>
      <c r="AH102" s="1"/>
      <c r="AO102" s="1"/>
    </row>
    <row r="103" ht="14.25" customHeight="1">
      <c r="B103" s="8"/>
      <c r="C103" s="8"/>
      <c r="D103" s="8"/>
      <c r="E103" s="8"/>
      <c r="F103" s="1"/>
      <c r="T103" s="74"/>
      <c r="U103" s="52"/>
      <c r="V103" s="52"/>
      <c r="W103" s="52"/>
      <c r="X103" s="52"/>
      <c r="Y103" s="52"/>
      <c r="Z103" s="53"/>
      <c r="AA103" s="1"/>
      <c r="AH103" s="1"/>
      <c r="AO103" s="1"/>
    </row>
    <row r="104" ht="14.25" customHeight="1">
      <c r="B104" s="8"/>
      <c r="C104" s="8"/>
      <c r="D104" s="8"/>
      <c r="E104" s="8"/>
      <c r="F104" s="1"/>
      <c r="T104" s="74"/>
      <c r="U104" s="52"/>
      <c r="V104" s="52"/>
      <c r="W104" s="52"/>
      <c r="X104" s="52"/>
      <c r="Y104" s="52"/>
      <c r="Z104" s="53"/>
      <c r="AA104" s="1"/>
      <c r="AH104" s="1"/>
      <c r="AO104" s="1"/>
    </row>
    <row r="105" ht="14.25" customHeight="1">
      <c r="B105" s="8"/>
      <c r="C105" s="8"/>
      <c r="D105" s="8"/>
      <c r="E105" s="8"/>
      <c r="F105" s="1"/>
      <c r="T105" s="74"/>
      <c r="U105" s="52"/>
      <c r="V105" s="52"/>
      <c r="W105" s="52"/>
      <c r="X105" s="52"/>
      <c r="Y105" s="52"/>
      <c r="Z105" s="53"/>
      <c r="AA105" s="1"/>
      <c r="AH105" s="1"/>
      <c r="AO105" s="1"/>
    </row>
    <row r="106" ht="14.25" customHeight="1">
      <c r="B106" s="8"/>
      <c r="C106" s="8"/>
      <c r="D106" s="8"/>
      <c r="E106" s="8"/>
      <c r="F106" s="1"/>
      <c r="T106" s="74"/>
      <c r="U106" s="52"/>
      <c r="V106" s="52"/>
      <c r="W106" s="52"/>
      <c r="X106" s="52"/>
      <c r="Y106" s="52"/>
      <c r="Z106" s="53"/>
      <c r="AA106" s="1"/>
      <c r="AH106" s="1"/>
      <c r="AO106" s="1"/>
    </row>
    <row r="107" ht="14.25" customHeight="1">
      <c r="B107" s="8"/>
      <c r="C107" s="8"/>
      <c r="D107" s="8"/>
      <c r="E107" s="8"/>
      <c r="F107" s="1"/>
      <c r="T107" s="74"/>
      <c r="U107" s="52"/>
      <c r="V107" s="52"/>
      <c r="W107" s="52"/>
      <c r="X107" s="52"/>
      <c r="Y107" s="52"/>
      <c r="Z107" s="53"/>
      <c r="AA107" s="1"/>
      <c r="AH107" s="1"/>
      <c r="AO107" s="1"/>
    </row>
    <row r="108" ht="14.25" customHeight="1">
      <c r="B108" s="8"/>
      <c r="C108" s="8"/>
      <c r="D108" s="8"/>
      <c r="E108" s="8"/>
      <c r="F108" s="1"/>
      <c r="T108" s="74"/>
      <c r="U108" s="58"/>
      <c r="V108" s="58"/>
      <c r="W108" s="58"/>
      <c r="X108" s="58"/>
      <c r="Y108" s="58"/>
      <c r="Z108" s="59"/>
      <c r="AA108" s="1"/>
      <c r="AH108" s="1"/>
      <c r="AO108" s="1"/>
    </row>
    <row r="109" ht="14.25" customHeight="1">
      <c r="B109" s="8"/>
      <c r="C109" s="8"/>
      <c r="D109" s="8"/>
      <c r="E109" s="8"/>
      <c r="F109" s="1"/>
      <c r="T109" s="74"/>
      <c r="U109" s="58"/>
      <c r="V109" s="58"/>
      <c r="W109" s="58"/>
      <c r="X109" s="58"/>
      <c r="Y109" s="58"/>
      <c r="Z109" s="59"/>
      <c r="AA109" s="1"/>
      <c r="AH109" s="1"/>
      <c r="AO109" s="1"/>
    </row>
    <row r="110" ht="14.25" customHeight="1">
      <c r="B110" s="8"/>
      <c r="C110" s="8"/>
      <c r="D110" s="8"/>
      <c r="E110" s="8"/>
      <c r="F110" s="1"/>
      <c r="T110" s="74"/>
      <c r="U110" s="58"/>
      <c r="V110" s="58"/>
      <c r="W110" s="58"/>
      <c r="X110" s="58"/>
      <c r="Y110" s="58"/>
      <c r="Z110" s="59"/>
      <c r="AA110" s="1"/>
      <c r="AH110" s="1"/>
      <c r="AO110" s="1"/>
    </row>
    <row r="111" ht="14.25" customHeight="1">
      <c r="B111" s="8"/>
      <c r="C111" s="8"/>
      <c r="D111" s="8"/>
      <c r="E111" s="8"/>
      <c r="F111" s="1"/>
      <c r="T111" s="74"/>
      <c r="U111" s="58"/>
      <c r="V111" s="58"/>
      <c r="W111" s="58"/>
      <c r="X111" s="58"/>
      <c r="Y111" s="58"/>
      <c r="Z111" s="59"/>
      <c r="AA111" s="1"/>
      <c r="AH111" s="1"/>
      <c r="AO111" s="1"/>
    </row>
    <row r="112" ht="14.25" customHeight="1">
      <c r="B112" s="8"/>
      <c r="C112" s="8"/>
      <c r="D112" s="8"/>
      <c r="E112" s="8"/>
      <c r="F112" s="1"/>
      <c r="T112" s="74"/>
      <c r="U112" s="58"/>
      <c r="V112" s="58"/>
      <c r="W112" s="58"/>
      <c r="X112" s="58"/>
      <c r="Y112" s="58"/>
      <c r="Z112" s="59"/>
      <c r="AA112" s="1"/>
      <c r="AH112" s="1"/>
      <c r="AO112" s="1"/>
    </row>
    <row r="113" ht="14.25" customHeight="1">
      <c r="B113" s="8"/>
      <c r="C113" s="8"/>
      <c r="D113" s="8"/>
      <c r="E113" s="8"/>
      <c r="F113" s="1"/>
      <c r="T113" s="74"/>
      <c r="U113" s="58"/>
      <c r="V113" s="58"/>
      <c r="W113" s="58"/>
      <c r="X113" s="58"/>
      <c r="Y113" s="58"/>
      <c r="Z113" s="59"/>
      <c r="AA113" s="1"/>
      <c r="AH113" s="1"/>
      <c r="AO113" s="1"/>
    </row>
    <row r="114" ht="14.25" customHeight="1">
      <c r="B114" s="8"/>
      <c r="C114" s="8"/>
      <c r="D114" s="8"/>
      <c r="E114" s="8"/>
      <c r="F114" s="1"/>
      <c r="T114" s="74"/>
      <c r="U114" s="58"/>
      <c r="V114" s="58"/>
      <c r="W114" s="58"/>
      <c r="X114" s="58"/>
      <c r="Y114" s="58"/>
      <c r="Z114" s="59"/>
      <c r="AA114" s="1"/>
      <c r="AH114" s="1"/>
      <c r="AO114" s="1"/>
    </row>
    <row r="115" ht="14.25" customHeight="1">
      <c r="B115" s="8"/>
      <c r="C115" s="8"/>
      <c r="D115" s="8"/>
      <c r="E115" s="8"/>
      <c r="F115" s="1"/>
      <c r="T115" s="74"/>
      <c r="U115" s="58"/>
      <c r="V115" s="58"/>
      <c r="W115" s="58"/>
      <c r="X115" s="58"/>
      <c r="Y115" s="58"/>
      <c r="Z115" s="59"/>
      <c r="AA115" s="1"/>
      <c r="AH115" s="1"/>
      <c r="AO115" s="1"/>
    </row>
    <row r="116" ht="14.25" customHeight="1">
      <c r="B116" s="8"/>
      <c r="C116" s="8"/>
      <c r="D116" s="8"/>
      <c r="E116" s="8"/>
      <c r="F116" s="1"/>
      <c r="T116" s="74"/>
      <c r="U116" s="58"/>
      <c r="V116" s="58"/>
      <c r="W116" s="58"/>
      <c r="X116" s="58"/>
      <c r="Y116" s="58"/>
      <c r="Z116" s="59"/>
      <c r="AA116" s="1"/>
      <c r="AH116" s="1"/>
      <c r="AO116" s="1"/>
    </row>
    <row r="117" ht="14.25" customHeight="1">
      <c r="B117" s="8"/>
      <c r="C117" s="8"/>
      <c r="D117" s="8"/>
      <c r="E117" s="8"/>
      <c r="F117" s="1"/>
      <c r="T117" s="74"/>
      <c r="U117" s="66"/>
      <c r="V117" s="66"/>
      <c r="W117" s="66"/>
      <c r="X117" s="66"/>
      <c r="Y117" s="66"/>
      <c r="Z117" s="67"/>
      <c r="AA117" s="1"/>
      <c r="AH117" s="1"/>
      <c r="AO117" s="1"/>
    </row>
    <row r="118" ht="14.25" customHeight="1">
      <c r="B118" s="8"/>
      <c r="C118" s="8"/>
      <c r="D118" s="8"/>
      <c r="E118" s="8"/>
      <c r="F118" s="1"/>
      <c r="T118" s="1"/>
      <c r="U118" s="4"/>
      <c r="V118" s="4"/>
      <c r="W118" s="4"/>
      <c r="X118" s="4"/>
      <c r="Y118" s="4"/>
      <c r="Z118" s="5"/>
      <c r="AA118" s="1"/>
      <c r="AH118" s="1"/>
      <c r="AO118" s="1"/>
    </row>
    <row r="119" ht="14.25" customHeight="1">
      <c r="B119" s="8"/>
      <c r="C119" s="8"/>
      <c r="D119" s="8"/>
      <c r="E119" s="8"/>
      <c r="F119" s="1"/>
      <c r="T119" s="1"/>
      <c r="U119" s="13"/>
      <c r="V119" s="14"/>
      <c r="W119" s="14"/>
      <c r="X119" s="14"/>
      <c r="Y119" s="14"/>
      <c r="Z119" s="15"/>
      <c r="AA119" s="1"/>
      <c r="AH119" s="1"/>
      <c r="AO119" s="1"/>
    </row>
    <row r="120" ht="14.25" customHeight="1">
      <c r="B120" s="8"/>
      <c r="C120" s="8"/>
      <c r="D120" s="8"/>
      <c r="E120" s="8"/>
      <c r="F120" s="1"/>
      <c r="T120" s="1"/>
      <c r="U120" s="25"/>
      <c r="V120" s="25"/>
      <c r="W120" s="25"/>
      <c r="X120" s="25"/>
      <c r="Y120" s="25"/>
      <c r="Z120" s="27"/>
      <c r="AA120" s="1"/>
      <c r="AH120" s="1"/>
      <c r="AO120" s="1"/>
    </row>
    <row r="121" ht="14.25" customHeight="1">
      <c r="B121" s="8"/>
      <c r="C121" s="8"/>
      <c r="D121" s="8"/>
      <c r="E121" s="8"/>
      <c r="F121" s="1"/>
      <c r="T121" s="73"/>
      <c r="U121" s="25"/>
      <c r="V121" s="25"/>
      <c r="W121" s="25"/>
      <c r="X121" s="25"/>
      <c r="Y121" s="25"/>
      <c r="Z121" s="27"/>
      <c r="AA121" s="1"/>
      <c r="AH121" s="1"/>
      <c r="AO121" s="1"/>
    </row>
    <row r="122" ht="14.25" customHeight="1">
      <c r="B122" s="8"/>
      <c r="C122" s="8"/>
      <c r="D122" s="8"/>
      <c r="E122" s="8"/>
      <c r="F122" s="1"/>
      <c r="T122" s="73"/>
      <c r="U122" s="25"/>
      <c r="V122" s="25"/>
      <c r="W122" s="25"/>
      <c r="X122" s="25"/>
      <c r="Y122" s="25"/>
      <c r="Z122" s="27"/>
      <c r="AA122" s="1"/>
      <c r="AH122" s="1"/>
      <c r="AO122" s="1"/>
    </row>
    <row r="123" ht="14.25" customHeight="1">
      <c r="B123" s="8"/>
      <c r="C123" s="8"/>
      <c r="D123" s="8"/>
      <c r="E123" s="8"/>
      <c r="F123" s="1"/>
      <c r="T123" s="74"/>
      <c r="U123" s="44"/>
      <c r="V123" s="44"/>
      <c r="W123" s="44"/>
      <c r="X123" s="44"/>
      <c r="Y123" s="44"/>
      <c r="Z123" s="45"/>
      <c r="AA123" s="1"/>
      <c r="AH123" s="1"/>
      <c r="AO123" s="1"/>
    </row>
    <row r="124" ht="14.25" customHeight="1">
      <c r="B124" s="8"/>
      <c r="C124" s="8"/>
      <c r="D124" s="8"/>
      <c r="E124" s="8"/>
      <c r="F124" s="1"/>
      <c r="T124" s="74"/>
      <c r="U124" s="52"/>
      <c r="V124" s="52"/>
      <c r="W124" s="52"/>
      <c r="X124" s="52"/>
      <c r="Y124" s="52"/>
      <c r="Z124" s="53"/>
      <c r="AA124" s="1"/>
      <c r="AH124" s="1"/>
      <c r="AO124" s="1"/>
    </row>
    <row r="125" ht="14.25" customHeight="1">
      <c r="B125" s="8"/>
      <c r="C125" s="8"/>
      <c r="D125" s="8"/>
      <c r="E125" s="8"/>
      <c r="F125" s="1"/>
      <c r="T125" s="74"/>
      <c r="U125" s="52"/>
      <c r="V125" s="52"/>
      <c r="W125" s="52"/>
      <c r="X125" s="52"/>
      <c r="Y125" s="52"/>
      <c r="Z125" s="53"/>
      <c r="AA125" s="1"/>
      <c r="AH125" s="1"/>
      <c r="AO125" s="1"/>
    </row>
    <row r="126" ht="14.25" customHeight="1">
      <c r="B126" s="8"/>
      <c r="C126" s="8"/>
      <c r="D126" s="8"/>
      <c r="E126" s="8"/>
      <c r="F126" s="1"/>
      <c r="T126" s="74"/>
      <c r="U126" s="52"/>
      <c r="V126" s="52"/>
      <c r="W126" s="52"/>
      <c r="X126" s="52"/>
      <c r="Y126" s="52"/>
      <c r="Z126" s="53"/>
      <c r="AA126" s="1"/>
      <c r="AH126" s="1"/>
      <c r="AO126" s="1"/>
    </row>
    <row r="127" ht="14.25" customHeight="1">
      <c r="B127" s="8"/>
      <c r="C127" s="8"/>
      <c r="D127" s="8"/>
      <c r="E127" s="8"/>
      <c r="F127" s="1"/>
      <c r="T127" s="74"/>
      <c r="U127" s="52"/>
      <c r="V127" s="52"/>
      <c r="W127" s="52"/>
      <c r="X127" s="52"/>
      <c r="Y127" s="52"/>
      <c r="Z127" s="53"/>
      <c r="AA127" s="1"/>
      <c r="AH127" s="1"/>
      <c r="AO127" s="1"/>
    </row>
    <row r="128" ht="14.25" customHeight="1">
      <c r="B128" s="8"/>
      <c r="C128" s="8"/>
      <c r="D128" s="8"/>
      <c r="E128" s="8"/>
      <c r="F128" s="1"/>
      <c r="T128" s="74"/>
      <c r="U128" s="52"/>
      <c r="V128" s="52"/>
      <c r="W128" s="52"/>
      <c r="X128" s="52"/>
      <c r="Y128" s="52"/>
      <c r="Z128" s="53"/>
      <c r="AA128" s="1"/>
      <c r="AH128" s="1"/>
      <c r="AO128" s="1"/>
    </row>
    <row r="129" ht="14.25" customHeight="1">
      <c r="B129" s="8"/>
      <c r="C129" s="8"/>
      <c r="D129" s="8"/>
      <c r="E129" s="8"/>
      <c r="F129" s="1"/>
      <c r="T129" s="74"/>
      <c r="U129" s="58"/>
      <c r="V129" s="58"/>
      <c r="W129" s="58"/>
      <c r="X129" s="58"/>
      <c r="Y129" s="58"/>
      <c r="Z129" s="59"/>
      <c r="AA129" s="1"/>
      <c r="AH129" s="1"/>
      <c r="AO129" s="1"/>
    </row>
    <row r="130" ht="14.25" customHeight="1">
      <c r="B130" s="8"/>
      <c r="C130" s="8"/>
      <c r="D130" s="8"/>
      <c r="E130" s="8"/>
      <c r="F130" s="1"/>
      <c r="T130" s="74"/>
      <c r="U130" s="58"/>
      <c r="V130" s="58"/>
      <c r="W130" s="58"/>
      <c r="X130" s="58"/>
      <c r="Y130" s="58"/>
      <c r="Z130" s="59"/>
      <c r="AA130" s="1"/>
      <c r="AH130" s="1"/>
      <c r="AO130" s="1"/>
    </row>
    <row r="131" ht="14.25" customHeight="1">
      <c r="B131" s="8"/>
      <c r="C131" s="8"/>
      <c r="D131" s="8"/>
      <c r="E131" s="8"/>
      <c r="F131" s="1"/>
      <c r="T131" s="74"/>
      <c r="U131" s="58"/>
      <c r="V131" s="58"/>
      <c r="W131" s="58"/>
      <c r="X131" s="58"/>
      <c r="Y131" s="58"/>
      <c r="Z131" s="59"/>
      <c r="AA131" s="1"/>
      <c r="AH131" s="1"/>
      <c r="AO131" s="1"/>
    </row>
    <row r="132" ht="14.25" customHeight="1">
      <c r="B132" s="8"/>
      <c r="C132" s="8"/>
      <c r="D132" s="8"/>
      <c r="E132" s="8"/>
      <c r="F132" s="1"/>
      <c r="T132" s="74"/>
      <c r="U132" s="58"/>
      <c r="V132" s="58"/>
      <c r="W132" s="58"/>
      <c r="X132" s="58"/>
      <c r="Y132" s="58"/>
      <c r="Z132" s="59"/>
      <c r="AA132" s="1"/>
      <c r="AH132" s="1"/>
      <c r="AO132" s="1"/>
    </row>
    <row r="133" ht="14.25" customHeight="1">
      <c r="B133" s="8"/>
      <c r="C133" s="8"/>
      <c r="D133" s="8"/>
      <c r="E133" s="8"/>
      <c r="F133" s="1"/>
      <c r="T133" s="74"/>
      <c r="U133" s="58"/>
      <c r="V133" s="58"/>
      <c r="W133" s="58"/>
      <c r="X133" s="58"/>
      <c r="Y133" s="58"/>
      <c r="Z133" s="59"/>
      <c r="AA133" s="1"/>
      <c r="AH133" s="1"/>
      <c r="AO133" s="1"/>
    </row>
    <row r="134" ht="14.25" customHeight="1">
      <c r="B134" s="8"/>
      <c r="C134" s="8"/>
      <c r="D134" s="8"/>
      <c r="E134" s="8"/>
      <c r="F134" s="1"/>
      <c r="T134" s="74"/>
      <c r="U134" s="58"/>
      <c r="V134" s="58"/>
      <c r="W134" s="58"/>
      <c r="X134" s="58"/>
      <c r="Y134" s="58"/>
      <c r="Z134" s="59"/>
      <c r="AA134" s="1"/>
      <c r="AH134" s="1"/>
      <c r="AO134" s="1"/>
    </row>
    <row r="135" ht="14.25" customHeight="1">
      <c r="B135" s="8"/>
      <c r="C135" s="8"/>
      <c r="D135" s="8"/>
      <c r="E135" s="8"/>
      <c r="F135" s="1"/>
      <c r="T135" s="74"/>
      <c r="U135" s="58"/>
      <c r="V135" s="58"/>
      <c r="W135" s="58"/>
      <c r="X135" s="58"/>
      <c r="Y135" s="58"/>
      <c r="Z135" s="59"/>
      <c r="AA135" s="1"/>
      <c r="AH135" s="1"/>
      <c r="AO135" s="1"/>
    </row>
    <row r="136" ht="14.25" customHeight="1">
      <c r="B136" s="8"/>
      <c r="C136" s="8"/>
      <c r="D136" s="8"/>
      <c r="E136" s="8"/>
      <c r="F136" s="1"/>
      <c r="T136" s="74"/>
      <c r="U136" s="58"/>
      <c r="V136" s="58"/>
      <c r="W136" s="58"/>
      <c r="X136" s="58"/>
      <c r="Y136" s="58"/>
      <c r="Z136" s="59"/>
      <c r="AA136" s="1"/>
      <c r="AH136" s="1"/>
      <c r="AO136" s="1"/>
    </row>
    <row r="137" ht="14.25" customHeight="1">
      <c r="B137" s="8"/>
      <c r="C137" s="8"/>
      <c r="D137" s="8"/>
      <c r="E137" s="8"/>
      <c r="F137" s="1"/>
      <c r="T137" s="74"/>
      <c r="U137" s="52"/>
      <c r="V137" s="52"/>
      <c r="W137" s="52"/>
      <c r="X137" s="52"/>
      <c r="Y137" s="52"/>
      <c r="Z137" s="53"/>
      <c r="AA137" s="1"/>
      <c r="AH137" s="1"/>
      <c r="AO137" s="1"/>
    </row>
    <row r="138" ht="14.25" customHeight="1">
      <c r="B138" s="8"/>
      <c r="C138" s="8"/>
      <c r="D138" s="8"/>
      <c r="E138" s="8"/>
      <c r="F138" s="1"/>
      <c r="T138" s="74"/>
      <c r="U138" s="52"/>
      <c r="V138" s="52"/>
      <c r="W138" s="52"/>
      <c r="X138" s="52"/>
      <c r="Y138" s="52"/>
      <c r="Z138" s="53"/>
      <c r="AA138" s="1"/>
      <c r="AH138" s="1"/>
      <c r="AO138" s="1"/>
    </row>
    <row r="139" ht="14.25" customHeight="1">
      <c r="B139" s="8"/>
      <c r="C139" s="8"/>
      <c r="D139" s="8"/>
      <c r="E139" s="8"/>
      <c r="F139" s="1"/>
      <c r="T139" s="74"/>
      <c r="U139" s="52"/>
      <c r="V139" s="52"/>
      <c r="W139" s="52"/>
      <c r="X139" s="52"/>
      <c r="Y139" s="52"/>
      <c r="Z139" s="53"/>
      <c r="AA139" s="1"/>
      <c r="AH139" s="1"/>
      <c r="AO139" s="1"/>
    </row>
    <row r="140" ht="14.25" customHeight="1">
      <c r="B140" s="8"/>
      <c r="C140" s="8"/>
      <c r="D140" s="8"/>
      <c r="E140" s="8"/>
      <c r="F140" s="1"/>
      <c r="T140" s="74"/>
      <c r="U140" s="52"/>
      <c r="V140" s="52"/>
      <c r="W140" s="52"/>
      <c r="X140" s="52"/>
      <c r="Y140" s="52"/>
      <c r="Z140" s="53"/>
      <c r="AA140" s="1"/>
      <c r="AH140" s="1"/>
      <c r="AO140" s="1"/>
    </row>
    <row r="141" ht="14.25" customHeight="1">
      <c r="B141" s="8"/>
      <c r="C141" s="8"/>
      <c r="D141" s="8"/>
      <c r="E141" s="8"/>
      <c r="F141" s="1"/>
      <c r="T141" s="74"/>
      <c r="U141" s="52"/>
      <c r="V141" s="52"/>
      <c r="W141" s="52"/>
      <c r="X141" s="52"/>
      <c r="Y141" s="52"/>
      <c r="Z141" s="53"/>
      <c r="AA141" s="1"/>
      <c r="AH141" s="1"/>
      <c r="AO141" s="1"/>
    </row>
    <row r="142" ht="14.25" customHeight="1">
      <c r="B142" s="8"/>
      <c r="C142" s="8"/>
      <c r="D142" s="8"/>
      <c r="E142" s="8"/>
      <c r="F142" s="1"/>
      <c r="T142" s="74"/>
      <c r="U142" s="52"/>
      <c r="V142" s="52"/>
      <c r="W142" s="52"/>
      <c r="X142" s="52"/>
      <c r="Y142" s="52"/>
      <c r="Z142" s="53"/>
      <c r="AA142" s="1"/>
      <c r="AH142" s="1"/>
      <c r="AO142" s="1"/>
    </row>
    <row r="143" ht="14.25" customHeight="1">
      <c r="B143" s="8"/>
      <c r="C143" s="8"/>
      <c r="D143" s="8"/>
      <c r="E143" s="8"/>
      <c r="F143" s="1"/>
      <c r="T143" s="74"/>
      <c r="U143" s="52"/>
      <c r="V143" s="52"/>
      <c r="W143" s="52"/>
      <c r="X143" s="52"/>
      <c r="Y143" s="52"/>
      <c r="Z143" s="53"/>
      <c r="AA143" s="1"/>
      <c r="AH143" s="1"/>
      <c r="AO143" s="1"/>
    </row>
    <row r="144" ht="14.25" customHeight="1">
      <c r="B144" s="8"/>
      <c r="C144" s="8"/>
      <c r="D144" s="8"/>
      <c r="E144" s="8"/>
      <c r="F144" s="1"/>
      <c r="T144" s="74"/>
      <c r="U144" s="52"/>
      <c r="V144" s="52"/>
      <c r="W144" s="52"/>
      <c r="X144" s="52"/>
      <c r="Y144" s="52"/>
      <c r="Z144" s="53"/>
      <c r="AA144" s="1"/>
      <c r="AH144" s="1"/>
      <c r="AO144" s="1"/>
    </row>
    <row r="145" ht="14.25" customHeight="1">
      <c r="B145" s="8"/>
      <c r="C145" s="8"/>
      <c r="D145" s="8"/>
      <c r="E145" s="8"/>
      <c r="F145" s="1"/>
      <c r="T145" s="74"/>
      <c r="U145" s="52"/>
      <c r="V145" s="52"/>
      <c r="W145" s="52"/>
      <c r="X145" s="52"/>
      <c r="Y145" s="52"/>
      <c r="Z145" s="53"/>
      <c r="AA145" s="1"/>
      <c r="AH145" s="1"/>
      <c r="AO145" s="1"/>
    </row>
    <row r="146" ht="14.25" customHeight="1">
      <c r="B146" s="8"/>
      <c r="C146" s="8"/>
      <c r="D146" s="8"/>
      <c r="E146" s="8"/>
      <c r="F146" s="1"/>
      <c r="T146" s="74"/>
      <c r="U146" s="52"/>
      <c r="V146" s="52"/>
      <c r="W146" s="52"/>
      <c r="X146" s="52"/>
      <c r="Y146" s="52"/>
      <c r="Z146" s="53"/>
      <c r="AA146" s="1"/>
      <c r="AH146" s="1"/>
      <c r="AO146" s="1"/>
    </row>
    <row r="147" ht="14.25" customHeight="1">
      <c r="B147" s="8"/>
      <c r="C147" s="8"/>
      <c r="D147" s="8"/>
      <c r="E147" s="8"/>
      <c r="F147" s="1"/>
      <c r="T147" s="74"/>
      <c r="U147" s="58"/>
      <c r="V147" s="58"/>
      <c r="W147" s="58"/>
      <c r="X147" s="58"/>
      <c r="Y147" s="58"/>
      <c r="Z147" s="59"/>
      <c r="AA147" s="1"/>
      <c r="AH147" s="1"/>
      <c r="AO147" s="1"/>
    </row>
    <row r="148" ht="14.25" customHeight="1">
      <c r="B148" s="8"/>
      <c r="C148" s="8"/>
      <c r="D148" s="8"/>
      <c r="E148" s="8"/>
      <c r="F148" s="1"/>
      <c r="T148" s="74"/>
      <c r="U148" s="58"/>
      <c r="V148" s="58"/>
      <c r="W148" s="58"/>
      <c r="X148" s="58"/>
      <c r="Y148" s="58"/>
      <c r="Z148" s="59"/>
      <c r="AA148" s="1"/>
      <c r="AH148" s="1"/>
      <c r="AO148" s="1"/>
    </row>
    <row r="149" ht="14.25" customHeight="1">
      <c r="B149" s="8"/>
      <c r="C149" s="8"/>
      <c r="D149" s="8"/>
      <c r="E149" s="8"/>
      <c r="F149" s="1"/>
      <c r="T149" s="74"/>
      <c r="U149" s="58"/>
      <c r="V149" s="58"/>
      <c r="W149" s="58"/>
      <c r="X149" s="58"/>
      <c r="Y149" s="58"/>
      <c r="Z149" s="59"/>
      <c r="AA149" s="1"/>
      <c r="AH149" s="1"/>
      <c r="AO149" s="1"/>
    </row>
    <row r="150" ht="14.25" customHeight="1">
      <c r="B150" s="8"/>
      <c r="C150" s="8"/>
      <c r="D150" s="8"/>
      <c r="E150" s="8"/>
      <c r="F150" s="1"/>
      <c r="T150" s="74"/>
      <c r="U150" s="58"/>
      <c r="V150" s="58"/>
      <c r="W150" s="58"/>
      <c r="X150" s="58"/>
      <c r="Y150" s="58"/>
      <c r="Z150" s="59"/>
      <c r="AA150" s="1"/>
      <c r="AH150" s="1"/>
      <c r="AO150" s="1"/>
    </row>
    <row r="151" ht="14.25" customHeight="1">
      <c r="B151" s="8"/>
      <c r="C151" s="8"/>
      <c r="D151" s="8"/>
      <c r="E151" s="8"/>
      <c r="F151" s="1"/>
      <c r="T151" s="74"/>
      <c r="U151" s="58"/>
      <c r="V151" s="58"/>
      <c r="W151" s="58"/>
      <c r="X151" s="58"/>
      <c r="Y151" s="58"/>
      <c r="Z151" s="59"/>
      <c r="AA151" s="1"/>
      <c r="AH151" s="1"/>
      <c r="AO151" s="1"/>
    </row>
    <row r="152" ht="14.25" customHeight="1">
      <c r="B152" s="8"/>
      <c r="C152" s="8"/>
      <c r="D152" s="8"/>
      <c r="E152" s="8"/>
      <c r="F152" s="1"/>
      <c r="T152" s="74"/>
      <c r="U152" s="58"/>
      <c r="V152" s="58"/>
      <c r="W152" s="58"/>
      <c r="X152" s="58"/>
      <c r="Y152" s="58"/>
      <c r="Z152" s="59"/>
      <c r="AA152" s="1"/>
      <c r="AH152" s="1"/>
      <c r="AO152" s="1"/>
    </row>
    <row r="153" ht="14.25" customHeight="1">
      <c r="B153" s="8"/>
      <c r="C153" s="8"/>
      <c r="D153" s="8"/>
      <c r="E153" s="8"/>
      <c r="F153" s="1"/>
      <c r="T153" s="74"/>
      <c r="U153" s="58"/>
      <c r="V153" s="58"/>
      <c r="W153" s="58"/>
      <c r="X153" s="58"/>
      <c r="Y153" s="58"/>
      <c r="Z153" s="59"/>
      <c r="AA153" s="1"/>
      <c r="AH153" s="1"/>
      <c r="AO153" s="1"/>
    </row>
    <row r="154" ht="14.25" customHeight="1">
      <c r="B154" s="8"/>
      <c r="C154" s="8"/>
      <c r="D154" s="8"/>
      <c r="E154" s="8"/>
      <c r="F154" s="1"/>
      <c r="T154" s="74"/>
      <c r="U154" s="58"/>
      <c r="V154" s="58"/>
      <c r="W154" s="58"/>
      <c r="X154" s="58"/>
      <c r="Y154" s="58"/>
      <c r="Z154" s="59"/>
      <c r="AA154" s="1"/>
      <c r="AH154" s="1"/>
      <c r="AO154" s="1"/>
    </row>
    <row r="155" ht="14.25" customHeight="1">
      <c r="B155" s="8"/>
      <c r="C155" s="8"/>
      <c r="D155" s="8"/>
      <c r="E155" s="8"/>
      <c r="F155" s="1"/>
      <c r="T155" s="74"/>
      <c r="U155" s="58"/>
      <c r="V155" s="58"/>
      <c r="W155" s="58"/>
      <c r="X155" s="58"/>
      <c r="Y155" s="58"/>
      <c r="Z155" s="59"/>
      <c r="AA155" s="1"/>
      <c r="AH155" s="1"/>
      <c r="AO155" s="1"/>
    </row>
    <row r="156" ht="14.25" customHeight="1">
      <c r="B156" s="8"/>
      <c r="C156" s="8"/>
      <c r="D156" s="8"/>
      <c r="E156" s="8"/>
      <c r="F156" s="1"/>
      <c r="T156" s="74"/>
      <c r="U156" s="66"/>
      <c r="V156" s="66"/>
      <c r="W156" s="66"/>
      <c r="X156" s="66"/>
      <c r="Y156" s="66"/>
      <c r="Z156" s="67"/>
      <c r="AA156" s="1"/>
      <c r="AH156" s="1"/>
      <c r="AO156" s="1"/>
    </row>
    <row r="157" ht="14.25" customHeight="1">
      <c r="B157" s="8"/>
      <c r="C157" s="8"/>
      <c r="D157" s="8"/>
      <c r="E157" s="8"/>
      <c r="F157" s="1"/>
      <c r="T157" s="1"/>
      <c r="U157" s="4"/>
      <c r="V157" s="4"/>
      <c r="W157" s="4"/>
      <c r="X157" s="4"/>
      <c r="Y157" s="4"/>
      <c r="Z157" s="5"/>
      <c r="AA157" s="1"/>
      <c r="AH157" s="1"/>
      <c r="AO157" s="1"/>
    </row>
    <row r="158" ht="14.25" customHeight="1">
      <c r="B158" s="8"/>
      <c r="C158" s="8"/>
      <c r="D158" s="8"/>
      <c r="E158" s="8"/>
      <c r="F158" s="1"/>
      <c r="T158" s="1"/>
      <c r="U158" s="13"/>
      <c r="V158" s="14"/>
      <c r="W158" s="14"/>
      <c r="X158" s="14"/>
      <c r="Y158" s="14"/>
      <c r="Z158" s="15"/>
      <c r="AA158" s="1"/>
      <c r="AH158" s="1"/>
      <c r="AO158" s="1"/>
    </row>
    <row r="159" ht="14.25" customHeight="1">
      <c r="B159" s="8"/>
      <c r="C159" s="8"/>
      <c r="D159" s="8"/>
      <c r="E159" s="8"/>
      <c r="F159" s="1"/>
      <c r="T159" s="1"/>
      <c r="U159" s="25"/>
      <c r="V159" s="25"/>
      <c r="W159" s="25"/>
      <c r="X159" s="25"/>
      <c r="Y159" s="25"/>
      <c r="Z159" s="27"/>
      <c r="AA159" s="1"/>
      <c r="AH159" s="1"/>
      <c r="AO159" s="1"/>
    </row>
    <row r="160" ht="14.25" customHeight="1">
      <c r="B160" s="8"/>
      <c r="C160" s="8"/>
      <c r="D160" s="8"/>
      <c r="E160" s="8"/>
      <c r="F160" s="1"/>
      <c r="T160" s="73"/>
      <c r="U160" s="25"/>
      <c r="V160" s="25"/>
      <c r="W160" s="25"/>
      <c r="X160" s="25"/>
      <c r="Y160" s="25"/>
      <c r="Z160" s="27"/>
      <c r="AA160" s="1"/>
      <c r="AH160" s="1"/>
      <c r="AO160" s="1"/>
    </row>
    <row r="161" ht="14.25" customHeight="1">
      <c r="B161" s="8"/>
      <c r="C161" s="8"/>
      <c r="D161" s="8"/>
      <c r="E161" s="8"/>
      <c r="F161" s="1"/>
      <c r="T161" s="73"/>
      <c r="U161" s="25"/>
      <c r="V161" s="25"/>
      <c r="W161" s="25"/>
      <c r="X161" s="25"/>
      <c r="Y161" s="25"/>
      <c r="Z161" s="27"/>
      <c r="AA161" s="1"/>
      <c r="AH161" s="1"/>
      <c r="AO161" s="1"/>
    </row>
    <row r="162" ht="14.25" customHeight="1">
      <c r="B162" s="8"/>
      <c r="C162" s="8"/>
      <c r="D162" s="8"/>
      <c r="E162" s="8"/>
      <c r="F162" s="1"/>
      <c r="T162" s="74"/>
      <c r="U162" s="44"/>
      <c r="V162" s="44"/>
      <c r="W162" s="44"/>
      <c r="X162" s="44"/>
      <c r="Y162" s="44"/>
      <c r="Z162" s="45"/>
      <c r="AA162" s="1"/>
      <c r="AH162" s="1"/>
      <c r="AO162" s="1"/>
    </row>
    <row r="163" ht="14.25" customHeight="1">
      <c r="B163" s="8"/>
      <c r="C163" s="8"/>
      <c r="D163" s="8"/>
      <c r="E163" s="8"/>
      <c r="F163" s="1"/>
      <c r="T163" s="74"/>
      <c r="U163" s="52"/>
      <c r="V163" s="52"/>
      <c r="W163" s="52"/>
      <c r="X163" s="52"/>
      <c r="Y163" s="52"/>
      <c r="Z163" s="53"/>
      <c r="AA163" s="1"/>
      <c r="AH163" s="1"/>
      <c r="AO163" s="1"/>
    </row>
    <row r="164" ht="14.25" customHeight="1">
      <c r="B164" s="8"/>
      <c r="C164" s="8"/>
      <c r="D164" s="8"/>
      <c r="E164" s="8"/>
      <c r="F164" s="1"/>
      <c r="T164" s="74"/>
      <c r="U164" s="52"/>
      <c r="V164" s="52"/>
      <c r="W164" s="52"/>
      <c r="X164" s="52"/>
      <c r="Y164" s="52"/>
      <c r="Z164" s="53"/>
      <c r="AA164" s="1"/>
      <c r="AH164" s="1"/>
      <c r="AO164" s="1"/>
    </row>
    <row r="165" ht="14.25" customHeight="1">
      <c r="B165" s="8"/>
      <c r="C165" s="8"/>
      <c r="D165" s="8"/>
      <c r="E165" s="8"/>
      <c r="F165" s="1"/>
      <c r="T165" s="74"/>
      <c r="U165" s="52"/>
      <c r="V165" s="52"/>
      <c r="W165" s="52"/>
      <c r="X165" s="52"/>
      <c r="Y165" s="52"/>
      <c r="Z165" s="53"/>
      <c r="AA165" s="1"/>
      <c r="AH165" s="1"/>
      <c r="AO165" s="1"/>
    </row>
    <row r="166" ht="14.25" customHeight="1">
      <c r="B166" s="8"/>
      <c r="C166" s="8"/>
      <c r="D166" s="8"/>
      <c r="E166" s="8"/>
      <c r="F166" s="1"/>
      <c r="T166" s="74"/>
      <c r="U166" s="52"/>
      <c r="V166" s="52"/>
      <c r="W166" s="52"/>
      <c r="X166" s="52"/>
      <c r="Y166" s="52"/>
      <c r="Z166" s="53"/>
      <c r="AA166" s="1"/>
      <c r="AH166" s="1"/>
      <c r="AO166" s="1"/>
    </row>
    <row r="167" ht="14.25" customHeight="1">
      <c r="B167" s="8"/>
      <c r="C167" s="8"/>
      <c r="D167" s="8"/>
      <c r="E167" s="8"/>
      <c r="F167" s="1"/>
      <c r="T167" s="74"/>
      <c r="U167" s="52"/>
      <c r="V167" s="52"/>
      <c r="W167" s="52"/>
      <c r="X167" s="52"/>
      <c r="Y167" s="52"/>
      <c r="Z167" s="53"/>
      <c r="AA167" s="1"/>
      <c r="AH167" s="1"/>
      <c r="AO167" s="1"/>
    </row>
    <row r="168" ht="14.25" customHeight="1">
      <c r="B168" s="8"/>
      <c r="C168" s="8"/>
      <c r="D168" s="8"/>
      <c r="E168" s="8"/>
      <c r="F168" s="1"/>
      <c r="T168" s="74"/>
      <c r="U168" s="58"/>
      <c r="V168" s="58"/>
      <c r="W168" s="58"/>
      <c r="X168" s="58"/>
      <c r="Y168" s="58"/>
      <c r="Z168" s="59"/>
      <c r="AA168" s="1"/>
      <c r="AH168" s="1"/>
      <c r="AO168" s="1"/>
    </row>
    <row r="169" ht="14.25" customHeight="1">
      <c r="B169" s="8"/>
      <c r="C169" s="8"/>
      <c r="D169" s="8"/>
      <c r="E169" s="8"/>
      <c r="F169" s="1"/>
      <c r="T169" s="74"/>
      <c r="U169" s="58"/>
      <c r="V169" s="58"/>
      <c r="W169" s="58"/>
      <c r="X169" s="58"/>
      <c r="Y169" s="58"/>
      <c r="Z169" s="59"/>
      <c r="AA169" s="1"/>
      <c r="AH169" s="1"/>
      <c r="AO169" s="1"/>
    </row>
    <row r="170" ht="14.25" customHeight="1">
      <c r="B170" s="8"/>
      <c r="C170" s="8"/>
      <c r="D170" s="8"/>
      <c r="E170" s="8"/>
      <c r="F170" s="1"/>
      <c r="T170" s="74"/>
      <c r="U170" s="58"/>
      <c r="V170" s="58"/>
      <c r="W170" s="58"/>
      <c r="X170" s="58"/>
      <c r="Y170" s="58"/>
      <c r="Z170" s="59"/>
      <c r="AA170" s="1"/>
      <c r="AH170" s="1"/>
      <c r="AO170" s="1"/>
    </row>
    <row r="171" ht="14.25" customHeight="1">
      <c r="B171" s="8"/>
      <c r="C171" s="8"/>
      <c r="D171" s="8"/>
      <c r="E171" s="8"/>
      <c r="F171" s="1"/>
      <c r="T171" s="74"/>
      <c r="U171" s="58"/>
      <c r="V171" s="58"/>
      <c r="W171" s="58"/>
      <c r="X171" s="58"/>
      <c r="Y171" s="58"/>
      <c r="Z171" s="59"/>
      <c r="AA171" s="1"/>
      <c r="AH171" s="1"/>
      <c r="AO171" s="1"/>
    </row>
    <row r="172" ht="14.25" customHeight="1">
      <c r="B172" s="8"/>
      <c r="C172" s="8"/>
      <c r="D172" s="8"/>
      <c r="E172" s="8"/>
      <c r="F172" s="1"/>
      <c r="T172" s="74"/>
      <c r="U172" s="58"/>
      <c r="V172" s="58"/>
      <c r="W172" s="58"/>
      <c r="X172" s="58"/>
      <c r="Y172" s="58"/>
      <c r="Z172" s="59"/>
      <c r="AA172" s="1"/>
      <c r="AH172" s="1"/>
      <c r="AO172" s="1"/>
    </row>
    <row r="173" ht="14.25" customHeight="1">
      <c r="B173" s="8"/>
      <c r="C173" s="8"/>
      <c r="D173" s="8"/>
      <c r="E173" s="8"/>
      <c r="F173" s="1"/>
      <c r="T173" s="74"/>
      <c r="U173" s="58"/>
      <c r="V173" s="58"/>
      <c r="W173" s="58"/>
      <c r="X173" s="58"/>
      <c r="Y173" s="58"/>
      <c r="Z173" s="59"/>
      <c r="AA173" s="1"/>
      <c r="AH173" s="1"/>
      <c r="AO173" s="1"/>
    </row>
    <row r="174" ht="14.25" customHeight="1">
      <c r="B174" s="8"/>
      <c r="C174" s="8"/>
      <c r="D174" s="8"/>
      <c r="E174" s="8"/>
      <c r="F174" s="1"/>
      <c r="T174" s="74"/>
      <c r="U174" s="58"/>
      <c r="V174" s="58"/>
      <c r="W174" s="58"/>
      <c r="X174" s="58"/>
      <c r="Y174" s="58"/>
      <c r="Z174" s="59"/>
      <c r="AA174" s="1"/>
      <c r="AH174" s="1"/>
      <c r="AO174" s="1"/>
    </row>
    <row r="175" ht="14.25" customHeight="1">
      <c r="B175" s="8"/>
      <c r="C175" s="8"/>
      <c r="D175" s="8"/>
      <c r="E175" s="8"/>
      <c r="F175" s="1"/>
      <c r="T175" s="74"/>
      <c r="U175" s="58"/>
      <c r="V175" s="58"/>
      <c r="W175" s="58"/>
      <c r="X175" s="58"/>
      <c r="Y175" s="58"/>
      <c r="Z175" s="59"/>
      <c r="AA175" s="1"/>
      <c r="AH175" s="1"/>
      <c r="AO175" s="1"/>
    </row>
    <row r="176" ht="14.25" customHeight="1">
      <c r="B176" s="8"/>
      <c r="C176" s="8"/>
      <c r="D176" s="8"/>
      <c r="E176" s="8"/>
      <c r="F176" s="1"/>
      <c r="T176" s="74"/>
      <c r="U176" s="52"/>
      <c r="V176" s="52"/>
      <c r="W176" s="52"/>
      <c r="X176" s="52"/>
      <c r="Y176" s="52"/>
      <c r="Z176" s="53"/>
      <c r="AA176" s="1"/>
      <c r="AH176" s="1"/>
      <c r="AO176" s="1"/>
    </row>
    <row r="177" ht="14.25" customHeight="1">
      <c r="B177" s="8"/>
      <c r="C177" s="8"/>
      <c r="D177" s="8"/>
      <c r="E177" s="8"/>
      <c r="F177" s="1"/>
      <c r="T177" s="74"/>
      <c r="U177" s="52"/>
      <c r="V177" s="52"/>
      <c r="W177" s="52"/>
      <c r="X177" s="52"/>
      <c r="Y177" s="52"/>
      <c r="Z177" s="53"/>
      <c r="AA177" s="1"/>
      <c r="AH177" s="1"/>
      <c r="AO177" s="1"/>
    </row>
    <row r="178" ht="14.25" customHeight="1">
      <c r="B178" s="8"/>
      <c r="C178" s="8"/>
      <c r="D178" s="8"/>
      <c r="E178" s="8"/>
      <c r="F178" s="1"/>
      <c r="T178" s="74"/>
      <c r="U178" s="52"/>
      <c r="V178" s="52"/>
      <c r="W178" s="52"/>
      <c r="X178" s="52"/>
      <c r="Y178" s="52"/>
      <c r="Z178" s="53"/>
      <c r="AA178" s="1"/>
      <c r="AH178" s="1"/>
      <c r="AO178" s="1"/>
    </row>
    <row r="179" ht="14.25" customHeight="1">
      <c r="B179" s="8"/>
      <c r="C179" s="8"/>
      <c r="D179" s="8"/>
      <c r="E179" s="8"/>
      <c r="F179" s="1"/>
      <c r="T179" s="74"/>
      <c r="U179" s="52"/>
      <c r="V179" s="52"/>
      <c r="W179" s="52"/>
      <c r="X179" s="52"/>
      <c r="Y179" s="52"/>
      <c r="Z179" s="53"/>
      <c r="AA179" s="1"/>
      <c r="AH179" s="1"/>
      <c r="AO179" s="1"/>
    </row>
    <row r="180" ht="14.25" customHeight="1">
      <c r="B180" s="8"/>
      <c r="C180" s="8"/>
      <c r="D180" s="8"/>
      <c r="E180" s="8"/>
      <c r="F180" s="1"/>
      <c r="T180" s="74"/>
      <c r="U180" s="52"/>
      <c r="V180" s="52"/>
      <c r="W180" s="52"/>
      <c r="X180" s="52"/>
      <c r="Y180" s="52"/>
      <c r="Z180" s="53"/>
      <c r="AA180" s="1"/>
      <c r="AH180" s="1"/>
      <c r="AO180" s="1"/>
    </row>
    <row r="181" ht="14.25" customHeight="1">
      <c r="B181" s="8"/>
      <c r="C181" s="8"/>
      <c r="D181" s="8"/>
      <c r="E181" s="8"/>
      <c r="F181" s="1"/>
      <c r="T181" s="74"/>
      <c r="U181" s="52"/>
      <c r="V181" s="52"/>
      <c r="W181" s="52"/>
      <c r="X181" s="52"/>
      <c r="Y181" s="52"/>
      <c r="Z181" s="53"/>
      <c r="AA181" s="1"/>
      <c r="AH181" s="1"/>
      <c r="AO181" s="1"/>
    </row>
    <row r="182" ht="14.25" customHeight="1">
      <c r="B182" s="8"/>
      <c r="C182" s="8"/>
      <c r="D182" s="8"/>
      <c r="E182" s="8"/>
      <c r="F182" s="1"/>
      <c r="T182" s="74"/>
      <c r="U182" s="52"/>
      <c r="V182" s="52"/>
      <c r="W182" s="52"/>
      <c r="X182" s="52"/>
      <c r="Y182" s="52"/>
      <c r="Z182" s="53"/>
      <c r="AA182" s="1"/>
      <c r="AH182" s="1"/>
      <c r="AO182" s="1"/>
    </row>
    <row r="183" ht="14.25" customHeight="1">
      <c r="B183" s="8"/>
      <c r="C183" s="8"/>
      <c r="D183" s="8"/>
      <c r="E183" s="8"/>
      <c r="F183" s="1"/>
      <c r="T183" s="74"/>
      <c r="U183" s="52"/>
      <c r="V183" s="52"/>
      <c r="W183" s="52"/>
      <c r="X183" s="52"/>
      <c r="Y183" s="52"/>
      <c r="Z183" s="53"/>
      <c r="AA183" s="1"/>
      <c r="AH183" s="1"/>
      <c r="AO183" s="1"/>
    </row>
    <row r="184" ht="14.25" customHeight="1">
      <c r="B184" s="8"/>
      <c r="C184" s="8"/>
      <c r="D184" s="8"/>
      <c r="E184" s="8"/>
      <c r="F184" s="1"/>
      <c r="T184" s="74"/>
      <c r="U184" s="52"/>
      <c r="V184" s="52"/>
      <c r="W184" s="52"/>
      <c r="X184" s="52"/>
      <c r="Y184" s="52"/>
      <c r="Z184" s="53"/>
      <c r="AA184" s="1"/>
      <c r="AH184" s="1"/>
      <c r="AO184" s="1"/>
    </row>
    <row r="185" ht="14.25" customHeight="1">
      <c r="B185" s="8"/>
      <c r="C185" s="8"/>
      <c r="D185" s="8"/>
      <c r="E185" s="8"/>
      <c r="F185" s="1"/>
      <c r="T185" s="74"/>
      <c r="U185" s="52"/>
      <c r="V185" s="52"/>
      <c r="W185" s="52"/>
      <c r="X185" s="52"/>
      <c r="Y185" s="52"/>
      <c r="Z185" s="53"/>
      <c r="AA185" s="1"/>
      <c r="AH185" s="1"/>
      <c r="AO185" s="1"/>
    </row>
    <row r="186" ht="14.25" customHeight="1">
      <c r="B186" s="8"/>
      <c r="C186" s="8"/>
      <c r="D186" s="8"/>
      <c r="E186" s="8"/>
      <c r="F186" s="1"/>
      <c r="T186" s="74"/>
      <c r="U186" s="58"/>
      <c r="V186" s="58"/>
      <c r="W186" s="58"/>
      <c r="X186" s="58"/>
      <c r="Y186" s="58"/>
      <c r="Z186" s="59"/>
      <c r="AA186" s="1"/>
      <c r="AH186" s="1"/>
      <c r="AO186" s="1"/>
    </row>
    <row r="187" ht="14.25" customHeight="1">
      <c r="B187" s="8"/>
      <c r="C187" s="8"/>
      <c r="D187" s="8"/>
      <c r="E187" s="8"/>
      <c r="F187" s="1"/>
      <c r="T187" s="74"/>
      <c r="U187" s="58"/>
      <c r="V187" s="58"/>
      <c r="W187" s="58"/>
      <c r="X187" s="58"/>
      <c r="Y187" s="58"/>
      <c r="Z187" s="59"/>
      <c r="AA187" s="1"/>
      <c r="AH187" s="1"/>
      <c r="AO187" s="1"/>
    </row>
    <row r="188" ht="14.25" customHeight="1">
      <c r="B188" s="8"/>
      <c r="C188" s="8"/>
      <c r="D188" s="8"/>
      <c r="E188" s="8"/>
      <c r="F188" s="1"/>
      <c r="T188" s="74"/>
      <c r="U188" s="58"/>
      <c r="V188" s="58"/>
      <c r="W188" s="58"/>
      <c r="X188" s="58"/>
      <c r="Y188" s="58"/>
      <c r="Z188" s="59"/>
      <c r="AA188" s="1"/>
      <c r="AH188" s="1"/>
      <c r="AO188" s="1"/>
    </row>
    <row r="189" ht="14.25" customHeight="1">
      <c r="B189" s="8"/>
      <c r="C189" s="8"/>
      <c r="D189" s="8"/>
      <c r="E189" s="8"/>
      <c r="F189" s="1"/>
      <c r="T189" s="74"/>
      <c r="U189" s="58"/>
      <c r="V189" s="58"/>
      <c r="W189" s="58"/>
      <c r="X189" s="58"/>
      <c r="Y189" s="58"/>
      <c r="Z189" s="59"/>
      <c r="AA189" s="1"/>
      <c r="AH189" s="1"/>
      <c r="AO189" s="1"/>
    </row>
    <row r="190" ht="14.25" customHeight="1">
      <c r="B190" s="8"/>
      <c r="C190" s="8"/>
      <c r="D190" s="8"/>
      <c r="E190" s="8"/>
      <c r="F190" s="1"/>
      <c r="T190" s="74"/>
      <c r="U190" s="58"/>
      <c r="V190" s="58"/>
      <c r="W190" s="58"/>
      <c r="X190" s="58"/>
      <c r="Y190" s="58"/>
      <c r="Z190" s="59"/>
      <c r="AA190" s="1"/>
      <c r="AH190" s="1"/>
      <c r="AO190" s="1"/>
    </row>
    <row r="191" ht="14.25" customHeight="1">
      <c r="B191" s="8"/>
      <c r="C191" s="8"/>
      <c r="D191" s="8"/>
      <c r="E191" s="8"/>
      <c r="F191" s="1"/>
      <c r="T191" s="74"/>
      <c r="U191" s="58"/>
      <c r="V191" s="58"/>
      <c r="W191" s="58"/>
      <c r="X191" s="58"/>
      <c r="Y191" s="58"/>
      <c r="Z191" s="59"/>
      <c r="AA191" s="1"/>
      <c r="AH191" s="1"/>
      <c r="AO191" s="1"/>
    </row>
    <row r="192" ht="14.25" customHeight="1">
      <c r="B192" s="8"/>
      <c r="C192" s="8"/>
      <c r="D192" s="8"/>
      <c r="E192" s="8"/>
      <c r="F192" s="1"/>
      <c r="T192" s="74"/>
      <c r="U192" s="58"/>
      <c r="V192" s="58"/>
      <c r="W192" s="58"/>
      <c r="X192" s="58"/>
      <c r="Y192" s="58"/>
      <c r="Z192" s="59"/>
      <c r="AA192" s="1"/>
      <c r="AH192" s="1"/>
      <c r="AO192" s="1"/>
    </row>
    <row r="193" ht="14.25" customHeight="1">
      <c r="B193" s="8"/>
      <c r="C193" s="8"/>
      <c r="D193" s="8"/>
      <c r="E193" s="8"/>
      <c r="F193" s="1"/>
      <c r="T193" s="74"/>
      <c r="U193" s="58"/>
      <c r="V193" s="58"/>
      <c r="W193" s="58"/>
      <c r="X193" s="58"/>
      <c r="Y193" s="58"/>
      <c r="Z193" s="59"/>
      <c r="AA193" s="1"/>
      <c r="AH193" s="1"/>
      <c r="AO193" s="1"/>
    </row>
    <row r="194" ht="14.25" customHeight="1">
      <c r="B194" s="8"/>
      <c r="C194" s="8"/>
      <c r="D194" s="8"/>
      <c r="E194" s="8"/>
      <c r="F194" s="1"/>
      <c r="T194" s="74"/>
      <c r="U194" s="58"/>
      <c r="V194" s="58"/>
      <c r="W194" s="58"/>
      <c r="X194" s="58"/>
      <c r="Y194" s="58"/>
      <c r="Z194" s="59"/>
      <c r="AA194" s="1"/>
      <c r="AH194" s="1"/>
      <c r="AO194" s="1"/>
    </row>
    <row r="195" ht="14.25" customHeight="1">
      <c r="B195" s="8"/>
      <c r="C195" s="8"/>
      <c r="D195" s="8"/>
      <c r="E195" s="8"/>
      <c r="F195" s="1"/>
      <c r="T195" s="74"/>
      <c r="U195" s="66"/>
      <c r="V195" s="66"/>
      <c r="W195" s="66"/>
      <c r="X195" s="66"/>
      <c r="Y195" s="66"/>
      <c r="Z195" s="67"/>
      <c r="AA195" s="1"/>
      <c r="AH195" s="1"/>
      <c r="AO195" s="1"/>
    </row>
    <row r="196" ht="14.25" customHeight="1">
      <c r="B196" s="8"/>
      <c r="C196" s="8"/>
      <c r="D196" s="8"/>
      <c r="E196" s="8"/>
      <c r="F196" s="1"/>
      <c r="T196" s="1"/>
      <c r="U196" s="4"/>
      <c r="V196" s="4"/>
      <c r="W196" s="4"/>
      <c r="X196" s="4"/>
      <c r="Y196" s="4"/>
      <c r="Z196" s="5"/>
      <c r="AA196" s="1"/>
      <c r="AH196" s="1"/>
      <c r="AO196" s="1"/>
    </row>
    <row r="197" ht="14.25" customHeight="1">
      <c r="B197" s="8"/>
      <c r="C197" s="8"/>
      <c r="D197" s="8"/>
      <c r="E197" s="8"/>
      <c r="F197" s="1"/>
      <c r="T197" s="1"/>
      <c r="U197" s="13"/>
      <c r="V197" s="14"/>
      <c r="W197" s="14"/>
      <c r="X197" s="14"/>
      <c r="Y197" s="14"/>
      <c r="Z197" s="15"/>
      <c r="AA197" s="1"/>
      <c r="AH197" s="1"/>
      <c r="AO197" s="1"/>
    </row>
    <row r="198" ht="14.25" customHeight="1">
      <c r="B198" s="8"/>
      <c r="C198" s="8"/>
      <c r="D198" s="8"/>
      <c r="E198" s="8"/>
      <c r="F198" s="1"/>
      <c r="T198" s="1"/>
      <c r="U198" s="25"/>
      <c r="V198" s="25"/>
      <c r="W198" s="25"/>
      <c r="X198" s="25"/>
      <c r="Y198" s="25"/>
      <c r="Z198" s="27"/>
      <c r="AA198" s="1"/>
      <c r="AH198" s="1"/>
      <c r="AO198" s="1"/>
    </row>
    <row r="199" ht="14.25" customHeight="1">
      <c r="B199" s="8"/>
      <c r="C199" s="8"/>
      <c r="D199" s="8"/>
      <c r="E199" s="8"/>
      <c r="F199" s="1"/>
      <c r="T199" s="73"/>
      <c r="U199" s="25"/>
      <c r="V199" s="25"/>
      <c r="W199" s="25"/>
      <c r="X199" s="25"/>
      <c r="Y199" s="25"/>
      <c r="Z199" s="27"/>
      <c r="AA199" s="1"/>
      <c r="AH199" s="1"/>
      <c r="AO199" s="1"/>
    </row>
    <row r="200" ht="14.25" customHeight="1">
      <c r="B200" s="8"/>
      <c r="C200" s="8"/>
      <c r="D200" s="8"/>
      <c r="E200" s="8"/>
      <c r="F200" s="1"/>
      <c r="T200" s="73"/>
      <c r="U200" s="25"/>
      <c r="V200" s="25"/>
      <c r="W200" s="25"/>
      <c r="X200" s="25"/>
      <c r="Y200" s="25"/>
      <c r="Z200" s="27"/>
      <c r="AA200" s="1"/>
      <c r="AH200" s="1"/>
      <c r="AO200" s="1"/>
    </row>
    <row r="201" ht="14.25" customHeight="1">
      <c r="B201" s="8"/>
      <c r="C201" s="8"/>
      <c r="D201" s="8"/>
      <c r="E201" s="8"/>
      <c r="F201" s="1"/>
      <c r="T201" s="74"/>
      <c r="U201" s="44"/>
      <c r="V201" s="44"/>
      <c r="W201" s="44"/>
      <c r="X201" s="44"/>
      <c r="Y201" s="44"/>
      <c r="Z201" s="45"/>
      <c r="AA201" s="1"/>
      <c r="AH201" s="1"/>
      <c r="AO201" s="1"/>
    </row>
    <row r="202" ht="14.25" customHeight="1">
      <c r="B202" s="8"/>
      <c r="C202" s="8"/>
      <c r="D202" s="8"/>
      <c r="E202" s="8"/>
      <c r="F202" s="1"/>
      <c r="T202" s="74"/>
      <c r="U202" s="52"/>
      <c r="V202" s="52"/>
      <c r="W202" s="52"/>
      <c r="X202" s="52"/>
      <c r="Y202" s="52"/>
      <c r="Z202" s="53"/>
      <c r="AA202" s="1"/>
      <c r="AH202" s="1"/>
      <c r="AO202" s="1"/>
    </row>
    <row r="203" ht="14.25" customHeight="1">
      <c r="B203" s="8"/>
      <c r="C203" s="8"/>
      <c r="D203" s="8"/>
      <c r="E203" s="8"/>
      <c r="F203" s="1"/>
      <c r="T203" s="74"/>
      <c r="U203" s="52"/>
      <c r="V203" s="52"/>
      <c r="W203" s="52"/>
      <c r="X203" s="52"/>
      <c r="Y203" s="52"/>
      <c r="Z203" s="53"/>
      <c r="AA203" s="1"/>
      <c r="AH203" s="1"/>
      <c r="AO203" s="1"/>
    </row>
    <row r="204" ht="14.25" customHeight="1">
      <c r="B204" s="8"/>
      <c r="C204" s="8"/>
      <c r="D204" s="8"/>
      <c r="E204" s="8"/>
      <c r="F204" s="1"/>
      <c r="T204" s="74"/>
      <c r="U204" s="52"/>
      <c r="V204" s="52"/>
      <c r="W204" s="52"/>
      <c r="X204" s="52"/>
      <c r="Y204" s="52"/>
      <c r="Z204" s="53"/>
      <c r="AA204" s="1"/>
      <c r="AH204" s="1"/>
      <c r="AO204" s="1"/>
    </row>
    <row r="205" ht="14.25" customHeight="1">
      <c r="B205" s="8"/>
      <c r="C205" s="8"/>
      <c r="D205" s="8"/>
      <c r="E205" s="8"/>
      <c r="F205" s="1"/>
      <c r="T205" s="74"/>
      <c r="U205" s="52"/>
      <c r="V205" s="52"/>
      <c r="W205" s="52"/>
      <c r="X205" s="52"/>
      <c r="Y205" s="52"/>
      <c r="Z205" s="53"/>
      <c r="AA205" s="1"/>
      <c r="AH205" s="1"/>
      <c r="AO205" s="1"/>
    </row>
    <row r="206" ht="14.25" customHeight="1">
      <c r="B206" s="8"/>
      <c r="C206" s="8"/>
      <c r="D206" s="8"/>
      <c r="E206" s="8"/>
      <c r="F206" s="1"/>
      <c r="T206" s="74"/>
      <c r="U206" s="52"/>
      <c r="V206" s="52"/>
      <c r="W206" s="52"/>
      <c r="X206" s="52"/>
      <c r="Y206" s="52"/>
      <c r="Z206" s="53"/>
      <c r="AA206" s="1"/>
      <c r="AH206" s="1"/>
      <c r="AO206" s="1"/>
    </row>
    <row r="207" ht="14.25" customHeight="1">
      <c r="B207" s="8"/>
      <c r="C207" s="8"/>
      <c r="D207" s="8"/>
      <c r="E207" s="8"/>
      <c r="F207" s="1"/>
      <c r="T207" s="74"/>
      <c r="U207" s="58"/>
      <c r="V207" s="58"/>
      <c r="W207" s="58"/>
      <c r="X207" s="58"/>
      <c r="Y207" s="58"/>
      <c r="Z207" s="59"/>
      <c r="AA207" s="1"/>
      <c r="AH207" s="1"/>
      <c r="AO207" s="1"/>
    </row>
    <row r="208" ht="14.25" customHeight="1">
      <c r="B208" s="8"/>
      <c r="C208" s="8"/>
      <c r="D208" s="8"/>
      <c r="E208" s="8"/>
      <c r="F208" s="1"/>
      <c r="T208" s="74"/>
      <c r="U208" s="58"/>
      <c r="V208" s="58"/>
      <c r="W208" s="58"/>
      <c r="X208" s="58"/>
      <c r="Y208" s="58"/>
      <c r="Z208" s="59"/>
      <c r="AA208" s="1"/>
      <c r="AH208" s="1"/>
      <c r="AO208" s="1"/>
    </row>
    <row r="209" ht="14.25" customHeight="1">
      <c r="B209" s="8"/>
      <c r="C209" s="8"/>
      <c r="D209" s="8"/>
      <c r="E209" s="8"/>
      <c r="F209" s="1"/>
      <c r="T209" s="74"/>
      <c r="U209" s="58"/>
      <c r="V209" s="58"/>
      <c r="W209" s="58"/>
      <c r="X209" s="58"/>
      <c r="Y209" s="58"/>
      <c r="Z209" s="59"/>
      <c r="AA209" s="1"/>
      <c r="AH209" s="1"/>
      <c r="AO209" s="1"/>
    </row>
    <row r="210" ht="14.25" customHeight="1">
      <c r="B210" s="8"/>
      <c r="C210" s="8"/>
      <c r="D210" s="8"/>
      <c r="E210" s="8"/>
      <c r="F210" s="1"/>
      <c r="T210" s="74"/>
      <c r="U210" s="58"/>
      <c r="V210" s="58"/>
      <c r="W210" s="58"/>
      <c r="X210" s="58"/>
      <c r="Y210" s="58"/>
      <c r="Z210" s="59"/>
      <c r="AA210" s="1"/>
      <c r="AH210" s="1"/>
      <c r="AO210" s="1"/>
    </row>
    <row r="211" ht="14.25" customHeight="1">
      <c r="B211" s="8"/>
      <c r="C211" s="8"/>
      <c r="D211" s="8"/>
      <c r="E211" s="8"/>
      <c r="F211" s="1"/>
      <c r="T211" s="74"/>
      <c r="U211" s="58"/>
      <c r="V211" s="58"/>
      <c r="W211" s="58"/>
      <c r="X211" s="58"/>
      <c r="Y211" s="58"/>
      <c r="Z211" s="59"/>
      <c r="AA211" s="1"/>
      <c r="AH211" s="1"/>
      <c r="AO211" s="1"/>
    </row>
    <row r="212" ht="14.25" customHeight="1">
      <c r="B212" s="8"/>
      <c r="C212" s="8"/>
      <c r="D212" s="8"/>
      <c r="E212" s="8"/>
      <c r="F212" s="1"/>
      <c r="T212" s="74"/>
      <c r="U212" s="58"/>
      <c r="V212" s="58"/>
      <c r="W212" s="58"/>
      <c r="X212" s="58"/>
      <c r="Y212" s="58"/>
      <c r="Z212" s="59"/>
      <c r="AA212" s="1"/>
      <c r="AH212" s="1"/>
      <c r="AO212" s="1"/>
    </row>
    <row r="213" ht="14.25" customHeight="1">
      <c r="B213" s="8"/>
      <c r="C213" s="8"/>
      <c r="D213" s="8"/>
      <c r="E213" s="8"/>
      <c r="F213" s="1"/>
      <c r="T213" s="74"/>
      <c r="U213" s="58"/>
      <c r="V213" s="58"/>
      <c r="W213" s="58"/>
      <c r="X213" s="58"/>
      <c r="Y213" s="58"/>
      <c r="Z213" s="59"/>
      <c r="AA213" s="1"/>
      <c r="AH213" s="1"/>
      <c r="AO213" s="1"/>
    </row>
    <row r="214" ht="14.25" customHeight="1">
      <c r="B214" s="8"/>
      <c r="C214" s="8"/>
      <c r="D214" s="8"/>
      <c r="E214" s="8"/>
      <c r="F214" s="1"/>
      <c r="T214" s="74"/>
      <c r="U214" s="58"/>
      <c r="V214" s="58"/>
      <c r="W214" s="58"/>
      <c r="X214" s="58"/>
      <c r="Y214" s="58"/>
      <c r="Z214" s="59"/>
      <c r="AA214" s="1"/>
      <c r="AH214" s="1"/>
      <c r="AO214" s="1"/>
    </row>
    <row r="215" ht="14.25" customHeight="1">
      <c r="B215" s="8"/>
      <c r="C215" s="8"/>
      <c r="D215" s="8"/>
      <c r="E215" s="8"/>
      <c r="F215" s="1"/>
      <c r="T215" s="74"/>
      <c r="U215" s="52"/>
      <c r="V215" s="52"/>
      <c r="W215" s="52"/>
      <c r="X215" s="52"/>
      <c r="Y215" s="52"/>
      <c r="Z215" s="53"/>
      <c r="AA215" s="1"/>
      <c r="AH215" s="1"/>
      <c r="AO215" s="1"/>
    </row>
    <row r="216" ht="14.25" customHeight="1">
      <c r="B216" s="8"/>
      <c r="C216" s="8"/>
      <c r="D216" s="8"/>
      <c r="E216" s="8"/>
      <c r="F216" s="1"/>
      <c r="T216" s="74"/>
      <c r="U216" s="52"/>
      <c r="V216" s="52"/>
      <c r="W216" s="52"/>
      <c r="X216" s="52"/>
      <c r="Y216" s="52"/>
      <c r="Z216" s="53"/>
      <c r="AA216" s="1"/>
      <c r="AH216" s="1"/>
      <c r="AO216" s="1"/>
    </row>
    <row r="217" ht="14.25" customHeight="1">
      <c r="B217" s="8"/>
      <c r="C217" s="8"/>
      <c r="D217" s="8"/>
      <c r="E217" s="8"/>
      <c r="F217" s="1"/>
      <c r="T217" s="74"/>
      <c r="U217" s="52"/>
      <c r="V217" s="52"/>
      <c r="W217" s="52"/>
      <c r="X217" s="52"/>
      <c r="Y217" s="52"/>
      <c r="Z217" s="53"/>
      <c r="AA217" s="1"/>
      <c r="AH217" s="1"/>
      <c r="AO217" s="1"/>
    </row>
    <row r="218" ht="14.25" customHeight="1">
      <c r="B218" s="8"/>
      <c r="C218" s="8"/>
      <c r="D218" s="8"/>
      <c r="E218" s="8"/>
      <c r="F218" s="1"/>
      <c r="T218" s="74"/>
      <c r="U218" s="52"/>
      <c r="V218" s="52"/>
      <c r="W218" s="52"/>
      <c r="X218" s="52"/>
      <c r="Y218" s="52"/>
      <c r="Z218" s="53"/>
      <c r="AA218" s="1"/>
      <c r="AH218" s="1"/>
      <c r="AO218" s="1"/>
    </row>
    <row r="219" ht="14.25" customHeight="1">
      <c r="B219" s="8"/>
      <c r="C219" s="8"/>
      <c r="D219" s="8"/>
      <c r="E219" s="8"/>
      <c r="F219" s="1"/>
      <c r="T219" s="74"/>
      <c r="U219" s="52"/>
      <c r="V219" s="52"/>
      <c r="W219" s="52"/>
      <c r="X219" s="52"/>
      <c r="Y219" s="52"/>
      <c r="Z219" s="53"/>
      <c r="AA219" s="1"/>
      <c r="AH219" s="1"/>
      <c r="AO219" s="1"/>
    </row>
    <row r="220" ht="14.25" customHeight="1">
      <c r="B220" s="8"/>
      <c r="C220" s="8"/>
      <c r="D220" s="8"/>
      <c r="E220" s="8"/>
      <c r="F220" s="1"/>
      <c r="T220" s="74"/>
      <c r="U220" s="52"/>
      <c r="V220" s="52"/>
      <c r="W220" s="52"/>
      <c r="X220" s="52"/>
      <c r="Y220" s="52"/>
      <c r="Z220" s="53"/>
      <c r="AA220" s="1"/>
      <c r="AH220" s="1"/>
      <c r="AO220" s="1"/>
    </row>
    <row r="221" ht="14.25" customHeight="1">
      <c r="B221" s="8"/>
      <c r="C221" s="8"/>
      <c r="D221" s="8"/>
      <c r="E221" s="8"/>
      <c r="F221" s="1"/>
      <c r="T221" s="74"/>
      <c r="U221" s="52"/>
      <c r="V221" s="52"/>
      <c r="W221" s="52"/>
      <c r="X221" s="52"/>
      <c r="Y221" s="52"/>
      <c r="Z221" s="53"/>
      <c r="AA221" s="1"/>
      <c r="AH221" s="1"/>
      <c r="AO221" s="1"/>
    </row>
    <row r="222" ht="14.25" customHeight="1">
      <c r="B222" s="8"/>
      <c r="C222" s="8"/>
      <c r="D222" s="8"/>
      <c r="E222" s="8"/>
      <c r="F222" s="1"/>
      <c r="T222" s="74"/>
      <c r="U222" s="52"/>
      <c r="V222" s="52"/>
      <c r="W222" s="52"/>
      <c r="X222" s="52"/>
      <c r="Y222" s="52"/>
      <c r="Z222" s="53"/>
      <c r="AA222" s="1"/>
      <c r="AH222" s="1"/>
      <c r="AO222" s="1"/>
    </row>
    <row r="223" ht="14.25" customHeight="1">
      <c r="B223" s="8"/>
      <c r="C223" s="8"/>
      <c r="D223" s="8"/>
      <c r="E223" s="8"/>
      <c r="F223" s="1"/>
      <c r="T223" s="74"/>
      <c r="U223" s="52"/>
      <c r="V223" s="52"/>
      <c r="W223" s="52"/>
      <c r="X223" s="52"/>
      <c r="Y223" s="52"/>
      <c r="Z223" s="53"/>
      <c r="AA223" s="1"/>
      <c r="AH223" s="1"/>
      <c r="AO223" s="1"/>
    </row>
    <row r="224" ht="14.25" customHeight="1">
      <c r="B224" s="8"/>
      <c r="C224" s="8"/>
      <c r="D224" s="8"/>
      <c r="E224" s="8"/>
      <c r="F224" s="1"/>
      <c r="T224" s="74"/>
      <c r="U224" s="52"/>
      <c r="V224" s="52"/>
      <c r="W224" s="52"/>
      <c r="X224" s="52"/>
      <c r="Y224" s="52"/>
      <c r="Z224" s="53"/>
      <c r="AA224" s="1"/>
      <c r="AH224" s="1"/>
      <c r="AO224" s="1"/>
    </row>
    <row r="225" ht="14.25" customHeight="1">
      <c r="B225" s="8"/>
      <c r="C225" s="8"/>
      <c r="D225" s="8"/>
      <c r="E225" s="8"/>
      <c r="F225" s="1"/>
      <c r="T225" s="74"/>
      <c r="U225" s="58"/>
      <c r="V225" s="58"/>
      <c r="W225" s="58"/>
      <c r="X225" s="58"/>
      <c r="Y225" s="58"/>
      <c r="Z225" s="59"/>
      <c r="AA225" s="1"/>
      <c r="AH225" s="1"/>
      <c r="AO225" s="1"/>
    </row>
    <row r="226" ht="14.25" customHeight="1">
      <c r="B226" s="8"/>
      <c r="C226" s="8"/>
      <c r="D226" s="8"/>
      <c r="E226" s="8"/>
      <c r="F226" s="1"/>
      <c r="T226" s="74"/>
      <c r="U226" s="58"/>
      <c r="V226" s="58"/>
      <c r="W226" s="58"/>
      <c r="X226" s="58"/>
      <c r="Y226" s="58"/>
      <c r="Z226" s="59"/>
      <c r="AA226" s="1"/>
      <c r="AH226" s="1"/>
      <c r="AO226" s="1"/>
    </row>
    <row r="227" ht="14.25" customHeight="1">
      <c r="B227" s="8"/>
      <c r="C227" s="8"/>
      <c r="D227" s="8"/>
      <c r="E227" s="8"/>
      <c r="F227" s="1"/>
      <c r="T227" s="74"/>
      <c r="U227" s="58"/>
      <c r="V227" s="58"/>
      <c r="W227" s="58"/>
      <c r="X227" s="58"/>
      <c r="Y227" s="58"/>
      <c r="Z227" s="59"/>
      <c r="AA227" s="1"/>
      <c r="AH227" s="1"/>
      <c r="AO227" s="1"/>
    </row>
    <row r="228" ht="14.25" customHeight="1">
      <c r="B228" s="8"/>
      <c r="C228" s="8"/>
      <c r="D228" s="8"/>
      <c r="E228" s="8"/>
      <c r="F228" s="1"/>
      <c r="T228" s="74"/>
      <c r="U228" s="58"/>
      <c r="V228" s="58"/>
      <c r="W228" s="58"/>
      <c r="X228" s="58"/>
      <c r="Y228" s="58"/>
      <c r="Z228" s="59"/>
      <c r="AA228" s="1"/>
      <c r="AH228" s="1"/>
      <c r="AO228" s="1"/>
    </row>
    <row r="229" ht="14.25" customHeight="1">
      <c r="B229" s="8"/>
      <c r="C229" s="8"/>
      <c r="D229" s="8"/>
      <c r="E229" s="8"/>
      <c r="F229" s="1"/>
      <c r="T229" s="74"/>
      <c r="U229" s="58"/>
      <c r="V229" s="58"/>
      <c r="W229" s="58"/>
      <c r="X229" s="58"/>
      <c r="Y229" s="58"/>
      <c r="Z229" s="59"/>
      <c r="AA229" s="1"/>
      <c r="AH229" s="1"/>
      <c r="AO229" s="1"/>
    </row>
    <row r="230" ht="14.25" customHeight="1">
      <c r="B230" s="8"/>
      <c r="C230" s="8"/>
      <c r="D230" s="8"/>
      <c r="E230" s="8"/>
      <c r="F230" s="1"/>
      <c r="T230" s="74"/>
      <c r="U230" s="58"/>
      <c r="V230" s="58"/>
      <c r="W230" s="58"/>
      <c r="X230" s="58"/>
      <c r="Y230" s="58"/>
      <c r="Z230" s="59"/>
      <c r="AA230" s="1"/>
      <c r="AH230" s="1"/>
      <c r="AO230" s="1"/>
    </row>
    <row r="231" ht="14.25" customHeight="1">
      <c r="B231" s="8"/>
      <c r="C231" s="8"/>
      <c r="D231" s="8"/>
      <c r="E231" s="8"/>
      <c r="F231" s="1"/>
      <c r="T231" s="74"/>
      <c r="U231" s="58"/>
      <c r="V231" s="58"/>
      <c r="W231" s="58"/>
      <c r="X231" s="58"/>
      <c r="Y231" s="58"/>
      <c r="Z231" s="59"/>
      <c r="AA231" s="1"/>
      <c r="AH231" s="1"/>
      <c r="AO231" s="1"/>
    </row>
    <row r="232" ht="14.25" customHeight="1">
      <c r="B232" s="8"/>
      <c r="C232" s="8"/>
      <c r="D232" s="8"/>
      <c r="E232" s="8"/>
      <c r="F232" s="1"/>
      <c r="T232" s="74"/>
      <c r="U232" s="58"/>
      <c r="V232" s="58"/>
      <c r="W232" s="58"/>
      <c r="X232" s="58"/>
      <c r="Y232" s="58"/>
      <c r="Z232" s="59"/>
      <c r="AA232" s="1"/>
      <c r="AH232" s="1"/>
      <c r="AO232" s="1"/>
    </row>
    <row r="233" ht="14.25" customHeight="1">
      <c r="B233" s="8"/>
      <c r="C233" s="8"/>
      <c r="D233" s="8"/>
      <c r="E233" s="8"/>
      <c r="F233" s="1"/>
      <c r="T233" s="74"/>
      <c r="U233" s="58"/>
      <c r="V233" s="58"/>
      <c r="W233" s="58"/>
      <c r="X233" s="58"/>
      <c r="Y233" s="58"/>
      <c r="Z233" s="59"/>
      <c r="AA233" s="1"/>
      <c r="AH233" s="1"/>
      <c r="AO233" s="1"/>
    </row>
    <row r="234" ht="14.25" customHeight="1">
      <c r="B234" s="8"/>
      <c r="C234" s="8"/>
      <c r="D234" s="8"/>
      <c r="E234" s="8"/>
      <c r="F234" s="1"/>
      <c r="T234" s="74"/>
      <c r="U234" s="66"/>
      <c r="V234" s="66"/>
      <c r="W234" s="66"/>
      <c r="X234" s="66"/>
      <c r="Y234" s="66"/>
      <c r="Z234" s="67"/>
      <c r="AA234" s="1"/>
      <c r="AH234" s="1"/>
      <c r="AO234" s="1"/>
    </row>
    <row r="235" ht="14.25" customHeight="1">
      <c r="B235" s="8"/>
      <c r="C235" s="8"/>
      <c r="D235" s="8"/>
      <c r="E235" s="8"/>
      <c r="F235" s="1"/>
      <c r="T235" s="1"/>
      <c r="U235" s="4"/>
      <c r="V235" s="4"/>
      <c r="W235" s="4"/>
      <c r="X235" s="4"/>
      <c r="Y235" s="4"/>
      <c r="Z235" s="5"/>
      <c r="AA235" s="1"/>
      <c r="AH235" s="1"/>
      <c r="AO235" s="1"/>
    </row>
    <row r="236" ht="14.25" customHeight="1">
      <c r="B236" s="8"/>
      <c r="C236" s="8"/>
      <c r="D236" s="8"/>
      <c r="E236" s="8"/>
      <c r="F236" s="1"/>
      <c r="T236" s="1"/>
      <c r="U236" s="13"/>
      <c r="V236" s="14"/>
      <c r="W236" s="14"/>
      <c r="X236" s="14"/>
      <c r="Y236" s="14"/>
      <c r="Z236" s="15"/>
      <c r="AA236" s="1"/>
      <c r="AH236" s="1"/>
      <c r="AO236" s="1"/>
    </row>
    <row r="237" ht="14.25" customHeight="1">
      <c r="B237" s="8"/>
      <c r="C237" s="8"/>
      <c r="D237" s="8"/>
      <c r="E237" s="8"/>
      <c r="F237" s="1"/>
      <c r="T237" s="1"/>
      <c r="U237" s="25"/>
      <c r="V237" s="25"/>
      <c r="W237" s="25"/>
      <c r="X237" s="25"/>
      <c r="Y237" s="25"/>
      <c r="Z237" s="27"/>
      <c r="AA237" s="1"/>
      <c r="AH237" s="1"/>
      <c r="AO237" s="1"/>
    </row>
    <row r="238" ht="14.25" customHeight="1">
      <c r="B238" s="8"/>
      <c r="C238" s="8"/>
      <c r="D238" s="8"/>
      <c r="E238" s="8"/>
      <c r="F238" s="1"/>
      <c r="T238" s="73"/>
      <c r="U238" s="25"/>
      <c r="V238" s="25"/>
      <c r="W238" s="25"/>
      <c r="X238" s="25"/>
      <c r="Y238" s="25"/>
      <c r="Z238" s="27"/>
      <c r="AA238" s="1"/>
      <c r="AH238" s="1"/>
      <c r="AO238" s="1"/>
    </row>
    <row r="239" ht="14.25" customHeight="1">
      <c r="B239" s="8"/>
      <c r="C239" s="8"/>
      <c r="D239" s="8"/>
      <c r="E239" s="8"/>
      <c r="F239" s="1"/>
      <c r="T239" s="73"/>
      <c r="U239" s="25"/>
      <c r="V239" s="25"/>
      <c r="W239" s="25"/>
      <c r="X239" s="25"/>
      <c r="Y239" s="25"/>
      <c r="Z239" s="27"/>
      <c r="AA239" s="1"/>
      <c r="AH239" s="1"/>
      <c r="AO239" s="1"/>
    </row>
    <row r="240" ht="14.25" customHeight="1">
      <c r="B240" s="8"/>
      <c r="C240" s="8"/>
      <c r="D240" s="8"/>
      <c r="E240" s="8"/>
      <c r="F240" s="1"/>
      <c r="T240" s="74"/>
      <c r="AA240" s="1"/>
      <c r="AH240" s="1"/>
      <c r="AO240" s="1"/>
    </row>
    <row r="241" ht="14.25" customHeight="1">
      <c r="B241" s="8"/>
      <c r="C241" s="8"/>
      <c r="D241" s="8"/>
      <c r="E241" s="8"/>
      <c r="F241" s="1"/>
      <c r="T241" s="74"/>
      <c r="AA241" s="1"/>
      <c r="AH241" s="1"/>
      <c r="AO241" s="1"/>
    </row>
    <row r="242" ht="14.25" customHeight="1">
      <c r="B242" s="8"/>
      <c r="C242" s="8"/>
      <c r="D242" s="8"/>
      <c r="E242" s="8"/>
      <c r="F242" s="1"/>
      <c r="T242" s="74"/>
      <c r="AA242" s="1"/>
      <c r="AH242" s="1"/>
      <c r="AO242" s="1"/>
    </row>
    <row r="243" ht="14.25" customHeight="1">
      <c r="B243" s="8"/>
      <c r="C243" s="8"/>
      <c r="D243" s="8"/>
      <c r="E243" s="8"/>
      <c r="F243" s="1"/>
      <c r="T243" s="74"/>
      <c r="AA243" s="1"/>
      <c r="AH243" s="1"/>
      <c r="AO243" s="1"/>
    </row>
    <row r="244" ht="14.25" customHeight="1">
      <c r="B244" s="8"/>
      <c r="C244" s="8"/>
      <c r="D244" s="8"/>
      <c r="E244" s="8"/>
      <c r="F244" s="1"/>
      <c r="T244" s="74"/>
      <c r="AA244" s="1"/>
      <c r="AH244" s="1"/>
      <c r="AO244" s="1"/>
    </row>
    <row r="245" ht="14.25" customHeight="1">
      <c r="B245" s="8"/>
      <c r="C245" s="8"/>
      <c r="D245" s="8"/>
      <c r="E245" s="8"/>
      <c r="F245" s="1"/>
      <c r="T245" s="74"/>
      <c r="AA245" s="1"/>
      <c r="AH245" s="1"/>
      <c r="AO245" s="1"/>
    </row>
    <row r="246" ht="14.25" customHeight="1">
      <c r="B246" s="8"/>
      <c r="C246" s="8"/>
      <c r="D246" s="8"/>
      <c r="E246" s="8"/>
      <c r="F246" s="1"/>
      <c r="T246" s="74"/>
      <c r="AA246" s="1"/>
      <c r="AH246" s="1"/>
      <c r="AO246" s="1"/>
    </row>
    <row r="247" ht="14.25" customHeight="1">
      <c r="B247" s="8"/>
      <c r="C247" s="8"/>
      <c r="D247" s="8"/>
      <c r="E247" s="8"/>
      <c r="F247" s="1"/>
      <c r="T247" s="74"/>
      <c r="AA247" s="1"/>
      <c r="AH247" s="1"/>
      <c r="AO247" s="1"/>
    </row>
    <row r="248" ht="14.25" customHeight="1">
      <c r="B248" s="8"/>
      <c r="C248" s="8"/>
      <c r="D248" s="8"/>
      <c r="E248" s="8"/>
      <c r="F248" s="1"/>
      <c r="T248" s="74"/>
      <c r="AA248" s="1"/>
      <c r="AH248" s="1"/>
      <c r="AO248" s="1"/>
    </row>
    <row r="249" ht="14.25" customHeight="1">
      <c r="B249" s="8"/>
      <c r="C249" s="8"/>
      <c r="D249" s="8"/>
      <c r="E249" s="8"/>
      <c r="F249" s="1"/>
      <c r="T249" s="74"/>
      <c r="AA249" s="1"/>
      <c r="AH249" s="1"/>
      <c r="AO249" s="1"/>
    </row>
    <row r="250" ht="14.25" customHeight="1">
      <c r="B250" s="8"/>
      <c r="C250" s="8"/>
      <c r="D250" s="8"/>
      <c r="E250" s="8"/>
      <c r="F250" s="1"/>
      <c r="T250" s="74"/>
      <c r="AA250" s="1"/>
      <c r="AH250" s="1"/>
      <c r="AO250" s="1"/>
    </row>
    <row r="251" ht="14.25" customHeight="1">
      <c r="B251" s="8"/>
      <c r="C251" s="8"/>
      <c r="D251" s="8"/>
      <c r="E251" s="8"/>
      <c r="F251" s="1"/>
      <c r="T251" s="74"/>
      <c r="AA251" s="1"/>
      <c r="AH251" s="1"/>
      <c r="AO251" s="1"/>
    </row>
    <row r="252" ht="14.25" customHeight="1">
      <c r="B252" s="8"/>
      <c r="C252" s="8"/>
      <c r="D252" s="8"/>
      <c r="E252" s="8"/>
      <c r="F252" s="1"/>
      <c r="T252" s="74"/>
      <c r="AA252" s="1"/>
      <c r="AH252" s="1"/>
      <c r="AO252" s="1"/>
    </row>
    <row r="253" ht="14.25" customHeight="1">
      <c r="B253" s="8"/>
      <c r="C253" s="8"/>
      <c r="D253" s="8"/>
      <c r="E253" s="8"/>
      <c r="F253" s="1"/>
      <c r="T253" s="74"/>
      <c r="AA253" s="1"/>
      <c r="AH253" s="1"/>
      <c r="AO253" s="1"/>
    </row>
    <row r="254" ht="14.25" customHeight="1">
      <c r="B254" s="8"/>
      <c r="C254" s="8"/>
      <c r="D254" s="8"/>
      <c r="E254" s="8"/>
      <c r="F254" s="1"/>
      <c r="T254" s="74"/>
      <c r="AA254" s="1"/>
      <c r="AH254" s="1"/>
      <c r="AO254" s="1"/>
    </row>
    <row r="255" ht="14.25" customHeight="1">
      <c r="B255" s="8"/>
      <c r="C255" s="8"/>
      <c r="D255" s="8"/>
      <c r="E255" s="8"/>
      <c r="F255" s="1"/>
      <c r="T255" s="74"/>
      <c r="AA255" s="1"/>
      <c r="AH255" s="1"/>
      <c r="AO255" s="1"/>
    </row>
    <row r="256" ht="14.25" customHeight="1">
      <c r="B256" s="8"/>
      <c r="C256" s="8"/>
      <c r="D256" s="8"/>
      <c r="E256" s="8"/>
      <c r="F256" s="1"/>
      <c r="T256" s="74"/>
      <c r="AA256" s="1"/>
      <c r="AH256" s="1"/>
      <c r="AO256" s="1"/>
    </row>
    <row r="257" ht="14.25" customHeight="1">
      <c r="B257" s="8"/>
      <c r="C257" s="8"/>
      <c r="D257" s="8"/>
      <c r="E257" s="8"/>
      <c r="F257" s="1"/>
      <c r="T257" s="74"/>
      <c r="AA257" s="1"/>
      <c r="AH257" s="1"/>
      <c r="AO257" s="1"/>
    </row>
    <row r="258" ht="14.25" customHeight="1">
      <c r="B258" s="8"/>
      <c r="C258" s="8"/>
      <c r="D258" s="8"/>
      <c r="E258" s="8"/>
      <c r="F258" s="1"/>
      <c r="T258" s="74"/>
      <c r="AA258" s="1"/>
      <c r="AH258" s="1"/>
      <c r="AO258" s="1"/>
    </row>
    <row r="259" ht="14.25" customHeight="1">
      <c r="B259" s="8"/>
      <c r="C259" s="8"/>
      <c r="D259" s="8"/>
      <c r="E259" s="8"/>
      <c r="F259" s="1"/>
      <c r="T259" s="74"/>
      <c r="AA259" s="1"/>
      <c r="AH259" s="1"/>
      <c r="AO259" s="1"/>
    </row>
    <row r="260" ht="14.25" customHeight="1">
      <c r="B260" s="8"/>
      <c r="C260" s="8"/>
      <c r="D260" s="8"/>
      <c r="E260" s="8"/>
      <c r="F260" s="1"/>
      <c r="T260" s="74"/>
      <c r="AA260" s="1"/>
      <c r="AH260" s="1"/>
      <c r="AO260" s="1"/>
    </row>
    <row r="261" ht="14.25" customHeight="1">
      <c r="B261" s="8"/>
      <c r="C261" s="8"/>
      <c r="D261" s="8"/>
      <c r="E261" s="8"/>
      <c r="F261" s="1"/>
      <c r="T261" s="74"/>
      <c r="AA261" s="1"/>
      <c r="AH261" s="1"/>
      <c r="AO261" s="1"/>
    </row>
    <row r="262" ht="14.25" customHeight="1">
      <c r="B262" s="8"/>
      <c r="C262" s="8"/>
      <c r="D262" s="8"/>
      <c r="E262" s="8"/>
      <c r="F262" s="1"/>
      <c r="T262" s="74"/>
      <c r="AA262" s="1"/>
      <c r="AH262" s="1"/>
      <c r="AO262" s="1"/>
    </row>
    <row r="263" ht="14.25" customHeight="1">
      <c r="B263" s="8"/>
      <c r="C263" s="8"/>
      <c r="D263" s="8"/>
      <c r="E263" s="8"/>
      <c r="F263" s="1"/>
      <c r="T263" s="74"/>
      <c r="AA263" s="1"/>
      <c r="AH263" s="1"/>
      <c r="AO263" s="1"/>
    </row>
    <row r="264" ht="14.25" customHeight="1">
      <c r="B264" s="8"/>
      <c r="C264" s="8"/>
      <c r="D264" s="8"/>
      <c r="E264" s="8"/>
      <c r="F264" s="1"/>
      <c r="T264" s="74"/>
      <c r="AA264" s="1"/>
      <c r="AH264" s="1"/>
      <c r="AO264" s="1"/>
    </row>
    <row r="265" ht="14.25" customHeight="1">
      <c r="B265" s="8"/>
      <c r="C265" s="8"/>
      <c r="D265" s="8"/>
      <c r="E265" s="8"/>
      <c r="F265" s="1"/>
      <c r="T265" s="74"/>
      <c r="AA265" s="1"/>
      <c r="AH265" s="1"/>
      <c r="AO265" s="1"/>
    </row>
    <row r="266" ht="14.25" customHeight="1">
      <c r="B266" s="8"/>
      <c r="C266" s="8"/>
      <c r="D266" s="8"/>
      <c r="E266" s="8"/>
      <c r="F266" s="1"/>
      <c r="T266" s="74"/>
      <c r="AA266" s="1"/>
      <c r="AH266" s="1"/>
      <c r="AO266" s="1"/>
    </row>
    <row r="267" ht="14.25" customHeight="1">
      <c r="B267" s="8"/>
      <c r="C267" s="8"/>
      <c r="D267" s="8"/>
      <c r="E267" s="8"/>
      <c r="F267" s="1"/>
      <c r="T267" s="74"/>
      <c r="AA267" s="1"/>
      <c r="AH267" s="1"/>
      <c r="AO267" s="1"/>
    </row>
    <row r="268" ht="14.25" customHeight="1">
      <c r="B268" s="8"/>
      <c r="C268" s="8"/>
      <c r="D268" s="8"/>
      <c r="E268" s="8"/>
      <c r="F268" s="1"/>
      <c r="T268" s="74"/>
      <c r="AA268" s="1"/>
      <c r="AH268" s="1"/>
      <c r="AO268" s="1"/>
    </row>
    <row r="269" ht="14.25" customHeight="1">
      <c r="B269" s="8"/>
      <c r="C269" s="8"/>
      <c r="D269" s="8"/>
      <c r="E269" s="8"/>
      <c r="F269" s="1"/>
      <c r="T269" s="74"/>
      <c r="AA269" s="1"/>
      <c r="AH269" s="1"/>
      <c r="AO269" s="1"/>
    </row>
    <row r="270" ht="14.25" customHeight="1">
      <c r="B270" s="8"/>
      <c r="C270" s="8"/>
      <c r="D270" s="8"/>
      <c r="E270" s="8"/>
      <c r="F270" s="1"/>
      <c r="T270" s="74"/>
      <c r="AA270" s="1"/>
      <c r="AH270" s="1"/>
      <c r="AO270" s="1"/>
    </row>
    <row r="271" ht="14.25" customHeight="1">
      <c r="B271" s="8"/>
      <c r="C271" s="8"/>
      <c r="D271" s="8"/>
      <c r="E271" s="8"/>
      <c r="F271" s="1"/>
      <c r="T271" s="74"/>
      <c r="AA271" s="1"/>
      <c r="AH271" s="1"/>
      <c r="AO271" s="1"/>
    </row>
    <row r="272" ht="14.25" customHeight="1">
      <c r="B272" s="8"/>
      <c r="C272" s="8"/>
      <c r="D272" s="8"/>
      <c r="E272" s="8"/>
      <c r="F272" s="1"/>
      <c r="T272" s="74"/>
      <c r="AA272" s="1"/>
      <c r="AH272" s="1"/>
      <c r="AO272" s="1"/>
    </row>
    <row r="273" ht="14.25" customHeight="1">
      <c r="B273" s="8"/>
      <c r="C273" s="8"/>
      <c r="D273" s="8"/>
      <c r="E273" s="8"/>
      <c r="F273" s="1"/>
      <c r="T273" s="74"/>
      <c r="AA273" s="1"/>
      <c r="AH273" s="1"/>
      <c r="AO273" s="1"/>
    </row>
    <row r="274" ht="14.25" customHeight="1">
      <c r="B274" s="8"/>
      <c r="C274" s="8"/>
      <c r="D274" s="8"/>
      <c r="E274" s="8"/>
      <c r="F274" s="1"/>
      <c r="T274" s="74"/>
      <c r="AA274" s="1"/>
      <c r="AH274" s="1"/>
      <c r="AO274" s="1"/>
    </row>
    <row r="275" ht="14.25" customHeight="1">
      <c r="B275" s="8"/>
      <c r="C275" s="8"/>
      <c r="D275" s="8"/>
      <c r="E275" s="8"/>
      <c r="F275" s="1"/>
      <c r="T275" s="74"/>
      <c r="AA275" s="1"/>
      <c r="AH275" s="1"/>
      <c r="AO275" s="1"/>
    </row>
    <row r="276" ht="14.25" customHeight="1">
      <c r="B276" s="8"/>
      <c r="C276" s="8"/>
      <c r="D276" s="8"/>
      <c r="E276" s="8"/>
      <c r="F276" s="1"/>
      <c r="T276" s="74"/>
      <c r="AA276" s="1"/>
      <c r="AH276" s="1"/>
      <c r="AO276" s="1"/>
    </row>
    <row r="277" ht="14.25" customHeight="1">
      <c r="B277" s="8"/>
      <c r="C277" s="8"/>
      <c r="D277" s="8"/>
      <c r="E277" s="8"/>
      <c r="F277" s="1"/>
      <c r="T277" s="74"/>
      <c r="AA277" s="1"/>
      <c r="AH277" s="1"/>
      <c r="AO277" s="1"/>
    </row>
    <row r="278" ht="14.25" customHeight="1">
      <c r="B278" s="8"/>
      <c r="C278" s="8"/>
      <c r="D278" s="8"/>
      <c r="E278" s="8"/>
      <c r="F278" s="1"/>
      <c r="T278" s="74"/>
      <c r="AA278" s="1"/>
      <c r="AH278" s="1"/>
      <c r="AO278" s="1"/>
    </row>
    <row r="279" ht="14.25" customHeight="1">
      <c r="B279" s="8"/>
      <c r="C279" s="8"/>
      <c r="D279" s="8"/>
      <c r="E279" s="8"/>
      <c r="F279" s="1"/>
      <c r="T279" s="74"/>
      <c r="AA279" s="1"/>
      <c r="AH279" s="1"/>
      <c r="AO279" s="1"/>
    </row>
    <row r="280" ht="14.25" customHeight="1">
      <c r="B280" s="8"/>
      <c r="C280" s="8"/>
      <c r="D280" s="8"/>
      <c r="E280" s="8"/>
      <c r="F280" s="1"/>
      <c r="T280" s="74"/>
      <c r="AA280" s="1"/>
      <c r="AH280" s="1"/>
      <c r="AO280" s="1"/>
    </row>
    <row r="281" ht="14.25" customHeight="1">
      <c r="B281" s="8"/>
      <c r="C281" s="8"/>
      <c r="D281" s="8"/>
      <c r="E281" s="8"/>
      <c r="F281" s="1"/>
      <c r="T281" s="74"/>
      <c r="AA281" s="1"/>
      <c r="AH281" s="1"/>
      <c r="AO281" s="1"/>
    </row>
    <row r="282" ht="14.25" customHeight="1">
      <c r="B282" s="8"/>
      <c r="C282" s="8"/>
      <c r="D282" s="8"/>
      <c r="E282" s="8"/>
      <c r="F282" s="1"/>
      <c r="T282" s="74"/>
      <c r="AA282" s="1"/>
      <c r="AH282" s="1"/>
      <c r="AO282" s="1"/>
    </row>
    <row r="283" ht="14.25" customHeight="1">
      <c r="B283" s="8"/>
      <c r="C283" s="8"/>
      <c r="D283" s="8"/>
      <c r="E283" s="8"/>
      <c r="F283" s="1"/>
      <c r="T283" s="74"/>
      <c r="AA283" s="1"/>
      <c r="AH283" s="1"/>
      <c r="AO283" s="1"/>
    </row>
    <row r="284" ht="14.25" customHeight="1">
      <c r="B284" s="8"/>
      <c r="C284" s="8"/>
      <c r="D284" s="8"/>
      <c r="E284" s="8"/>
      <c r="F284" s="1"/>
      <c r="T284" s="74"/>
      <c r="AA284" s="1"/>
      <c r="AH284" s="1"/>
      <c r="AO284" s="1"/>
    </row>
    <row r="285" ht="14.25" customHeight="1">
      <c r="B285" s="8"/>
      <c r="C285" s="8"/>
      <c r="D285" s="8"/>
      <c r="E285" s="8"/>
      <c r="F285" s="1"/>
      <c r="T285" s="74"/>
      <c r="AA285" s="1"/>
      <c r="AH285" s="1"/>
      <c r="AO285" s="1"/>
    </row>
    <row r="286" ht="14.25" customHeight="1">
      <c r="B286" s="8"/>
      <c r="C286" s="8"/>
      <c r="D286" s="8"/>
      <c r="E286" s="8"/>
      <c r="F286" s="1"/>
      <c r="T286" s="74"/>
      <c r="AA286" s="1"/>
      <c r="AH286" s="1"/>
      <c r="AO286" s="1"/>
    </row>
    <row r="287" ht="14.25" customHeight="1">
      <c r="B287" s="8"/>
      <c r="C287" s="8"/>
      <c r="D287" s="8"/>
      <c r="E287" s="8"/>
      <c r="F287" s="1"/>
      <c r="T287" s="74"/>
      <c r="AA287" s="1"/>
      <c r="AH287" s="1"/>
      <c r="AO287" s="1"/>
    </row>
    <row r="288" ht="14.25" customHeight="1">
      <c r="B288" s="8"/>
      <c r="C288" s="8"/>
      <c r="D288" s="8"/>
      <c r="E288" s="8"/>
      <c r="F288" s="1"/>
      <c r="T288" s="74"/>
      <c r="AA288" s="1"/>
      <c r="AH288" s="1"/>
      <c r="AO288" s="1"/>
    </row>
    <row r="289" ht="14.25" customHeight="1">
      <c r="B289" s="8"/>
      <c r="C289" s="8"/>
      <c r="D289" s="8"/>
      <c r="E289" s="8"/>
      <c r="F289" s="1"/>
      <c r="T289" s="74"/>
      <c r="AA289" s="1"/>
      <c r="AH289" s="1"/>
      <c r="AO289" s="1"/>
    </row>
    <row r="290" ht="14.25" customHeight="1">
      <c r="B290" s="8"/>
      <c r="C290" s="8"/>
      <c r="D290" s="8"/>
      <c r="E290" s="8"/>
      <c r="F290" s="1"/>
      <c r="T290" s="74"/>
      <c r="AA290" s="1"/>
      <c r="AH290" s="1"/>
      <c r="AO290" s="1"/>
    </row>
    <row r="291" ht="14.25" customHeight="1">
      <c r="B291" s="8"/>
      <c r="C291" s="8"/>
      <c r="D291" s="8"/>
      <c r="E291" s="8"/>
      <c r="F291" s="1"/>
      <c r="T291" s="74"/>
      <c r="AA291" s="1"/>
      <c r="AH291" s="1"/>
      <c r="AO291" s="1"/>
    </row>
    <row r="292" ht="14.25" customHeight="1">
      <c r="B292" s="8"/>
      <c r="C292" s="8"/>
      <c r="D292" s="8"/>
      <c r="E292" s="8"/>
      <c r="F292" s="1"/>
      <c r="T292" s="74"/>
      <c r="AA292" s="1"/>
      <c r="AH292" s="1"/>
      <c r="AO292" s="1"/>
    </row>
    <row r="293" ht="14.25" customHeight="1">
      <c r="B293" s="8"/>
      <c r="C293" s="8"/>
      <c r="D293" s="8"/>
      <c r="E293" s="8"/>
      <c r="F293" s="1"/>
      <c r="T293" s="74"/>
      <c r="AA293" s="1"/>
      <c r="AH293" s="1"/>
      <c r="AO293" s="1"/>
    </row>
    <row r="294" ht="14.25" customHeight="1">
      <c r="B294" s="8"/>
      <c r="C294" s="8"/>
      <c r="D294" s="8"/>
      <c r="E294" s="8"/>
      <c r="F294" s="1"/>
      <c r="T294" s="74"/>
      <c r="AA294" s="1"/>
      <c r="AH294" s="1"/>
      <c r="AO294" s="1"/>
    </row>
    <row r="295" ht="14.25" customHeight="1">
      <c r="B295" s="8"/>
      <c r="C295" s="8"/>
      <c r="D295" s="8"/>
      <c r="E295" s="8"/>
      <c r="F295" s="1"/>
      <c r="T295" s="74"/>
      <c r="AA295" s="1"/>
      <c r="AH295" s="1"/>
      <c r="AO295" s="1"/>
    </row>
    <row r="296" ht="14.25" customHeight="1">
      <c r="B296" s="8"/>
      <c r="C296" s="8"/>
      <c r="D296" s="8"/>
      <c r="E296" s="8"/>
      <c r="F296" s="1"/>
      <c r="T296" s="74"/>
      <c r="AA296" s="1"/>
      <c r="AH296" s="1"/>
      <c r="AO296" s="1"/>
    </row>
    <row r="297" ht="14.25" customHeight="1">
      <c r="B297" s="8"/>
      <c r="C297" s="8"/>
      <c r="D297" s="8"/>
      <c r="E297" s="8"/>
      <c r="F297" s="1"/>
      <c r="T297" s="74"/>
      <c r="AA297" s="1"/>
      <c r="AH297" s="1"/>
      <c r="AO297" s="1"/>
    </row>
    <row r="298" ht="14.25" customHeight="1">
      <c r="B298" s="8"/>
      <c r="C298" s="8"/>
      <c r="D298" s="8"/>
      <c r="E298" s="8"/>
      <c r="F298" s="1"/>
      <c r="T298" s="74"/>
      <c r="AA298" s="1"/>
      <c r="AH298" s="1"/>
      <c r="AO298" s="1"/>
    </row>
    <row r="299" ht="14.25" customHeight="1">
      <c r="B299" s="8"/>
      <c r="C299" s="8"/>
      <c r="D299" s="8"/>
      <c r="E299" s="8"/>
      <c r="F299" s="1"/>
      <c r="T299" s="74"/>
      <c r="AA299" s="1"/>
      <c r="AH299" s="1"/>
      <c r="AO299" s="1"/>
    </row>
    <row r="300" ht="14.25" customHeight="1">
      <c r="B300" s="8"/>
      <c r="C300" s="8"/>
      <c r="D300" s="8"/>
      <c r="E300" s="8"/>
      <c r="F300" s="1"/>
      <c r="T300" s="74"/>
      <c r="AA300" s="1"/>
      <c r="AH300" s="1"/>
      <c r="AO300" s="1"/>
    </row>
    <row r="301" ht="14.25" customHeight="1">
      <c r="B301" s="8"/>
      <c r="C301" s="8"/>
      <c r="D301" s="8"/>
      <c r="E301" s="8"/>
      <c r="F301" s="1"/>
      <c r="T301" s="74"/>
      <c r="AA301" s="1"/>
      <c r="AH301" s="1"/>
      <c r="AO301" s="1"/>
    </row>
    <row r="302" ht="14.25" customHeight="1">
      <c r="B302" s="8"/>
      <c r="C302" s="8"/>
      <c r="D302" s="8"/>
      <c r="E302" s="8"/>
      <c r="F302" s="1"/>
      <c r="T302" s="74"/>
      <c r="AA302" s="1"/>
      <c r="AH302" s="1"/>
      <c r="AO302" s="1"/>
    </row>
    <row r="303" ht="14.25" customHeight="1">
      <c r="B303" s="8"/>
      <c r="C303" s="8"/>
      <c r="D303" s="8"/>
      <c r="E303" s="8"/>
      <c r="F303" s="1"/>
      <c r="T303" s="74"/>
      <c r="AA303" s="1"/>
      <c r="AH303" s="1"/>
      <c r="AO303" s="1"/>
    </row>
    <row r="304" ht="14.25" customHeight="1">
      <c r="B304" s="8"/>
      <c r="C304" s="8"/>
      <c r="D304" s="8"/>
      <c r="E304" s="8"/>
      <c r="F304" s="1"/>
      <c r="T304" s="74"/>
      <c r="AA304" s="1"/>
      <c r="AH304" s="1"/>
      <c r="AO304" s="1"/>
    </row>
    <row r="305" ht="14.25" customHeight="1">
      <c r="B305" s="8"/>
      <c r="C305" s="8"/>
      <c r="D305" s="8"/>
      <c r="E305" s="8"/>
      <c r="F305" s="1"/>
      <c r="T305" s="74"/>
      <c r="AA305" s="1"/>
      <c r="AH305" s="1"/>
      <c r="AO305" s="1"/>
    </row>
    <row r="306" ht="14.25" customHeight="1">
      <c r="B306" s="8"/>
      <c r="C306" s="8"/>
      <c r="D306" s="8"/>
      <c r="E306" s="8"/>
      <c r="F306" s="1"/>
      <c r="T306" s="74"/>
      <c r="AA306" s="1"/>
      <c r="AH306" s="1"/>
      <c r="AO306" s="1"/>
    </row>
    <row r="307" ht="14.25" customHeight="1">
      <c r="B307" s="8"/>
      <c r="C307" s="8"/>
      <c r="D307" s="8"/>
      <c r="E307" s="8"/>
      <c r="F307" s="1"/>
      <c r="T307" s="74"/>
      <c r="AA307" s="1"/>
      <c r="AH307" s="1"/>
      <c r="AO307" s="1"/>
    </row>
    <row r="308" ht="14.25" customHeight="1">
      <c r="B308" s="8"/>
      <c r="C308" s="8"/>
      <c r="D308" s="8"/>
      <c r="E308" s="8"/>
      <c r="F308" s="1"/>
      <c r="T308" s="74"/>
      <c r="AA308" s="1"/>
      <c r="AH308" s="1"/>
      <c r="AO308" s="1"/>
    </row>
    <row r="309" ht="14.25" customHeight="1">
      <c r="B309" s="8"/>
      <c r="C309" s="8"/>
      <c r="D309" s="8"/>
      <c r="E309" s="8"/>
      <c r="F309" s="1"/>
      <c r="T309" s="74"/>
      <c r="AA309" s="1"/>
      <c r="AH309" s="1"/>
      <c r="AO309" s="1"/>
    </row>
    <row r="310" ht="14.25" customHeight="1">
      <c r="B310" s="8"/>
      <c r="C310" s="8"/>
      <c r="D310" s="8"/>
      <c r="E310" s="8"/>
      <c r="F310" s="1"/>
      <c r="T310" s="74"/>
      <c r="AA310" s="1"/>
      <c r="AH310" s="1"/>
      <c r="AO310" s="1"/>
    </row>
    <row r="311" ht="14.25" customHeight="1">
      <c r="B311" s="8"/>
      <c r="C311" s="8"/>
      <c r="D311" s="8"/>
      <c r="E311" s="8"/>
      <c r="F311" s="1"/>
      <c r="T311" s="74"/>
      <c r="AA311" s="1"/>
      <c r="AH311" s="1"/>
      <c r="AO311" s="1"/>
    </row>
    <row r="312" ht="14.25" customHeight="1">
      <c r="B312" s="8"/>
      <c r="C312" s="8"/>
      <c r="D312" s="8"/>
      <c r="E312" s="8"/>
      <c r="F312" s="1"/>
      <c r="T312" s="74"/>
      <c r="AA312" s="1"/>
      <c r="AH312" s="1"/>
      <c r="AO312" s="1"/>
    </row>
    <row r="313" ht="14.25" customHeight="1">
      <c r="B313" s="8"/>
      <c r="C313" s="8"/>
      <c r="D313" s="8"/>
      <c r="E313" s="8"/>
      <c r="F313" s="1"/>
      <c r="T313" s="74"/>
      <c r="AA313" s="1"/>
      <c r="AH313" s="1"/>
      <c r="AO313" s="1"/>
    </row>
    <row r="314" ht="14.25" customHeight="1">
      <c r="B314" s="8"/>
      <c r="C314" s="8"/>
      <c r="D314" s="8"/>
      <c r="E314" s="8"/>
      <c r="F314" s="1"/>
      <c r="T314" s="74"/>
      <c r="AA314" s="1"/>
      <c r="AH314" s="1"/>
      <c r="AO314" s="1"/>
    </row>
    <row r="315" ht="14.25" customHeight="1">
      <c r="B315" s="8"/>
      <c r="C315" s="8"/>
      <c r="D315" s="8"/>
      <c r="E315" s="8"/>
      <c r="F315" s="1"/>
      <c r="T315" s="74"/>
      <c r="AA315" s="1"/>
      <c r="AH315" s="1"/>
      <c r="AO315" s="1"/>
    </row>
    <row r="316" ht="14.25" customHeight="1">
      <c r="B316" s="8"/>
      <c r="C316" s="8"/>
      <c r="D316" s="8"/>
      <c r="E316" s="8"/>
      <c r="F316" s="1"/>
      <c r="T316" s="74"/>
      <c r="AA316" s="1"/>
      <c r="AH316" s="1"/>
      <c r="AO316" s="1"/>
    </row>
    <row r="317" ht="14.25" customHeight="1">
      <c r="B317" s="8"/>
      <c r="C317" s="8"/>
      <c r="D317" s="8"/>
      <c r="E317" s="8"/>
      <c r="F317" s="1"/>
      <c r="T317" s="74"/>
      <c r="AA317" s="1"/>
      <c r="AH317" s="1"/>
      <c r="AO317" s="1"/>
    </row>
    <row r="318" ht="14.25" customHeight="1">
      <c r="B318" s="8"/>
      <c r="C318" s="8"/>
      <c r="D318" s="8"/>
      <c r="E318" s="8"/>
      <c r="F318" s="1"/>
      <c r="T318" s="74"/>
      <c r="AA318" s="1"/>
      <c r="AH318" s="1"/>
      <c r="AO318" s="1"/>
    </row>
    <row r="319" ht="14.25" customHeight="1">
      <c r="B319" s="8"/>
      <c r="C319" s="8"/>
      <c r="D319" s="8"/>
      <c r="E319" s="8"/>
      <c r="F319" s="1"/>
      <c r="T319" s="74"/>
      <c r="AA319" s="1"/>
      <c r="AH319" s="1"/>
      <c r="AO319" s="1"/>
    </row>
    <row r="320" ht="14.25" customHeight="1">
      <c r="B320" s="8"/>
      <c r="C320" s="8"/>
      <c r="D320" s="8"/>
      <c r="E320" s="8"/>
      <c r="F320" s="1"/>
      <c r="T320" s="74"/>
      <c r="AA320" s="1"/>
      <c r="AH320" s="1"/>
      <c r="AO320" s="1"/>
    </row>
    <row r="321" ht="14.25" customHeight="1">
      <c r="B321" s="8"/>
      <c r="C321" s="8"/>
      <c r="D321" s="8"/>
      <c r="E321" s="8"/>
      <c r="F321" s="1"/>
      <c r="T321" s="74"/>
      <c r="AA321" s="1"/>
      <c r="AH321" s="1"/>
      <c r="AO321" s="1"/>
    </row>
    <row r="322" ht="14.25" customHeight="1">
      <c r="B322" s="8"/>
      <c r="C322" s="8"/>
      <c r="D322" s="8"/>
      <c r="E322" s="8"/>
      <c r="F322" s="1"/>
      <c r="T322" s="74"/>
      <c r="AA322" s="1"/>
      <c r="AH322" s="1"/>
      <c r="AO322" s="1"/>
    </row>
    <row r="323" ht="14.25" customHeight="1">
      <c r="B323" s="8"/>
      <c r="C323" s="8"/>
      <c r="D323" s="8"/>
      <c r="E323" s="8"/>
      <c r="F323" s="1"/>
      <c r="T323" s="74"/>
      <c r="AA323" s="1"/>
      <c r="AH323" s="1"/>
      <c r="AO323" s="1"/>
    </row>
    <row r="324" ht="14.25" customHeight="1">
      <c r="B324" s="8"/>
      <c r="C324" s="8"/>
      <c r="D324" s="8"/>
      <c r="E324" s="8"/>
      <c r="F324" s="1"/>
      <c r="T324" s="74"/>
      <c r="AA324" s="1"/>
      <c r="AH324" s="1"/>
      <c r="AO324" s="1"/>
    </row>
    <row r="325" ht="14.25" customHeight="1">
      <c r="B325" s="8"/>
      <c r="C325" s="8"/>
      <c r="D325" s="8"/>
      <c r="E325" s="8"/>
      <c r="F325" s="1"/>
      <c r="T325" s="74"/>
      <c r="AA325" s="1"/>
      <c r="AH325" s="1"/>
      <c r="AO325" s="1"/>
    </row>
    <row r="326" ht="14.25" customHeight="1">
      <c r="B326" s="8"/>
      <c r="C326" s="8"/>
      <c r="D326" s="8"/>
      <c r="E326" s="8"/>
      <c r="F326" s="1"/>
      <c r="T326" s="74"/>
      <c r="AA326" s="1"/>
      <c r="AH326" s="1"/>
      <c r="AO326" s="1"/>
    </row>
    <row r="327" ht="14.25" customHeight="1">
      <c r="B327" s="8"/>
      <c r="C327" s="8"/>
      <c r="D327" s="8"/>
      <c r="E327" s="8"/>
      <c r="F327" s="1"/>
      <c r="T327" s="74"/>
      <c r="AA327" s="1"/>
      <c r="AH327" s="1"/>
      <c r="AO327" s="1"/>
    </row>
    <row r="328" ht="14.25" customHeight="1">
      <c r="B328" s="8"/>
      <c r="C328" s="8"/>
      <c r="D328" s="8"/>
      <c r="E328" s="8"/>
      <c r="F328" s="1"/>
      <c r="T328" s="74"/>
      <c r="AA328" s="1"/>
      <c r="AH328" s="1"/>
      <c r="AO328" s="1"/>
    </row>
    <row r="329" ht="14.25" customHeight="1">
      <c r="B329" s="8"/>
      <c r="C329" s="8"/>
      <c r="D329" s="8"/>
      <c r="E329" s="8"/>
      <c r="F329" s="1"/>
      <c r="T329" s="74"/>
      <c r="AA329" s="1"/>
      <c r="AH329" s="1"/>
      <c r="AO329" s="1"/>
    </row>
    <row r="330" ht="14.25" customHeight="1">
      <c r="B330" s="8"/>
      <c r="C330" s="8"/>
      <c r="D330" s="8"/>
      <c r="E330" s="8"/>
      <c r="F330" s="1"/>
      <c r="T330" s="74"/>
      <c r="AA330" s="1"/>
      <c r="AH330" s="1"/>
      <c r="AO330" s="1"/>
    </row>
    <row r="331" ht="14.25" customHeight="1">
      <c r="B331" s="8"/>
      <c r="C331" s="8"/>
      <c r="D331" s="8"/>
      <c r="E331" s="8"/>
      <c r="F331" s="1"/>
      <c r="T331" s="74"/>
      <c r="AA331" s="1"/>
      <c r="AH331" s="1"/>
      <c r="AO331" s="1"/>
    </row>
    <row r="332" ht="14.25" customHeight="1">
      <c r="B332" s="8"/>
      <c r="C332" s="8"/>
      <c r="D332" s="8"/>
      <c r="E332" s="8"/>
      <c r="F332" s="1"/>
      <c r="T332" s="74"/>
      <c r="AA332" s="1"/>
      <c r="AH332" s="1"/>
      <c r="AO332" s="1"/>
    </row>
    <row r="333" ht="14.25" customHeight="1">
      <c r="B333" s="8"/>
      <c r="C333" s="8"/>
      <c r="D333" s="8"/>
      <c r="E333" s="8"/>
      <c r="F333" s="1"/>
      <c r="T333" s="74"/>
      <c r="AA333" s="1"/>
      <c r="AH333" s="1"/>
      <c r="AO333" s="1"/>
    </row>
    <row r="334" ht="14.25" customHeight="1">
      <c r="B334" s="8"/>
      <c r="C334" s="8"/>
      <c r="D334" s="8"/>
      <c r="E334" s="8"/>
      <c r="F334" s="1"/>
      <c r="T334" s="74"/>
      <c r="AA334" s="1"/>
      <c r="AH334" s="1"/>
      <c r="AO334" s="1"/>
    </row>
    <row r="335" ht="14.25" customHeight="1">
      <c r="B335" s="8"/>
      <c r="C335" s="8"/>
      <c r="D335" s="8"/>
      <c r="E335" s="8"/>
      <c r="F335" s="1"/>
      <c r="T335" s="74"/>
      <c r="AA335" s="1"/>
      <c r="AH335" s="1"/>
      <c r="AO335" s="1"/>
    </row>
    <row r="336" ht="14.25" customHeight="1">
      <c r="B336" s="8"/>
      <c r="C336" s="8"/>
      <c r="D336" s="8"/>
      <c r="E336" s="8"/>
      <c r="F336" s="1"/>
      <c r="T336" s="74"/>
      <c r="AA336" s="1"/>
      <c r="AH336" s="1"/>
      <c r="AO336" s="1"/>
    </row>
    <row r="337" ht="14.25" customHeight="1">
      <c r="B337" s="8"/>
      <c r="C337" s="8"/>
      <c r="D337" s="8"/>
      <c r="E337" s="8"/>
      <c r="F337" s="1"/>
      <c r="T337" s="74"/>
      <c r="AA337" s="1"/>
      <c r="AH337" s="1"/>
      <c r="AO337" s="1"/>
    </row>
    <row r="338" ht="14.25" customHeight="1">
      <c r="B338" s="8"/>
      <c r="C338" s="8"/>
      <c r="D338" s="8"/>
      <c r="E338" s="8"/>
      <c r="F338" s="1"/>
      <c r="T338" s="74"/>
      <c r="AA338" s="1"/>
      <c r="AH338" s="1"/>
      <c r="AO338" s="1"/>
    </row>
    <row r="339" ht="14.25" customHeight="1">
      <c r="B339" s="8"/>
      <c r="C339" s="8"/>
      <c r="D339" s="8"/>
      <c r="E339" s="8"/>
      <c r="F339" s="1"/>
      <c r="T339" s="74"/>
      <c r="AA339" s="1"/>
      <c r="AH339" s="1"/>
      <c r="AO339" s="1"/>
    </row>
    <row r="340" ht="14.25" customHeight="1">
      <c r="B340" s="8"/>
      <c r="C340" s="8"/>
      <c r="D340" s="8"/>
      <c r="E340" s="8"/>
      <c r="F340" s="1"/>
      <c r="T340" s="74"/>
      <c r="AA340" s="1"/>
      <c r="AH340" s="1"/>
      <c r="AO340" s="1"/>
    </row>
    <row r="341" ht="14.25" customHeight="1">
      <c r="B341" s="8"/>
      <c r="C341" s="8"/>
      <c r="D341" s="8"/>
      <c r="E341" s="8"/>
      <c r="F341" s="1"/>
      <c r="T341" s="74"/>
      <c r="AA341" s="1"/>
      <c r="AH341" s="1"/>
      <c r="AO341" s="1"/>
    </row>
    <row r="342" ht="14.25" customHeight="1">
      <c r="B342" s="8"/>
      <c r="C342" s="8"/>
      <c r="D342" s="8"/>
      <c r="E342" s="8"/>
      <c r="F342" s="1"/>
      <c r="T342" s="74"/>
      <c r="AA342" s="1"/>
      <c r="AH342" s="1"/>
      <c r="AO342" s="1"/>
    </row>
    <row r="343" ht="14.25" customHeight="1">
      <c r="B343" s="8"/>
      <c r="C343" s="8"/>
      <c r="D343" s="8"/>
      <c r="E343" s="8"/>
      <c r="F343" s="1"/>
      <c r="T343" s="74"/>
      <c r="AA343" s="1"/>
      <c r="AH343" s="1"/>
      <c r="AO343" s="1"/>
    </row>
    <row r="344" ht="14.25" customHeight="1">
      <c r="B344" s="8"/>
      <c r="C344" s="8"/>
      <c r="D344" s="8"/>
      <c r="E344" s="8"/>
      <c r="F344" s="1"/>
      <c r="T344" s="74"/>
      <c r="AA344" s="1"/>
      <c r="AH344" s="1"/>
      <c r="AO344" s="1"/>
    </row>
    <row r="345" ht="14.25" customHeight="1">
      <c r="B345" s="8"/>
      <c r="C345" s="8"/>
      <c r="D345" s="8"/>
      <c r="E345" s="8"/>
      <c r="F345" s="1"/>
      <c r="T345" s="74"/>
      <c r="AA345" s="1"/>
      <c r="AH345" s="1"/>
      <c r="AO345" s="1"/>
    </row>
    <row r="346" ht="14.25" customHeight="1">
      <c r="B346" s="8"/>
      <c r="C346" s="8"/>
      <c r="D346" s="8"/>
      <c r="E346" s="8"/>
      <c r="F346" s="1"/>
      <c r="T346" s="74"/>
      <c r="AA346" s="1"/>
      <c r="AH346" s="1"/>
      <c r="AO346" s="1"/>
    </row>
    <row r="347" ht="14.25" customHeight="1">
      <c r="B347" s="8"/>
      <c r="C347" s="8"/>
      <c r="D347" s="8"/>
      <c r="E347" s="8"/>
      <c r="F347" s="1"/>
      <c r="T347" s="74"/>
      <c r="AA347" s="1"/>
      <c r="AH347" s="1"/>
      <c r="AO347" s="1"/>
    </row>
    <row r="348" ht="14.25" customHeight="1">
      <c r="B348" s="8"/>
      <c r="C348" s="8"/>
      <c r="D348" s="8"/>
      <c r="E348" s="8"/>
      <c r="F348" s="1"/>
      <c r="T348" s="74"/>
      <c r="AA348" s="1"/>
      <c r="AH348" s="1"/>
      <c r="AO348" s="1"/>
    </row>
    <row r="349" ht="14.25" customHeight="1">
      <c r="B349" s="8"/>
      <c r="C349" s="8"/>
      <c r="D349" s="8"/>
      <c r="E349" s="8"/>
      <c r="F349" s="1"/>
      <c r="T349" s="74"/>
      <c r="AA349" s="1"/>
      <c r="AH349" s="1"/>
      <c r="AO349" s="1"/>
    </row>
    <row r="350" ht="14.25" customHeight="1">
      <c r="B350" s="8"/>
      <c r="C350" s="8"/>
      <c r="D350" s="8"/>
      <c r="E350" s="8"/>
      <c r="F350" s="1"/>
      <c r="T350" s="74"/>
      <c r="AA350" s="1"/>
      <c r="AH350" s="1"/>
      <c r="AO350" s="1"/>
    </row>
    <row r="351" ht="14.25" customHeight="1">
      <c r="B351" s="8"/>
      <c r="C351" s="8"/>
      <c r="D351" s="8"/>
      <c r="E351" s="8"/>
      <c r="F351" s="1"/>
      <c r="T351" s="74"/>
      <c r="AA351" s="1"/>
      <c r="AH351" s="1"/>
      <c r="AO351" s="1"/>
    </row>
    <row r="352" ht="14.25" customHeight="1">
      <c r="B352" s="8"/>
      <c r="C352" s="8"/>
      <c r="D352" s="8"/>
      <c r="E352" s="8"/>
      <c r="F352" s="1"/>
      <c r="T352" s="74"/>
      <c r="AA352" s="1"/>
      <c r="AH352" s="1"/>
      <c r="AO352" s="1"/>
    </row>
    <row r="353" ht="14.25" customHeight="1">
      <c r="B353" s="8"/>
      <c r="C353" s="8"/>
      <c r="D353" s="8"/>
      <c r="E353" s="8"/>
      <c r="F353" s="1"/>
      <c r="T353" s="74"/>
      <c r="AA353" s="1"/>
      <c r="AH353" s="1"/>
      <c r="AO353" s="1"/>
    </row>
    <row r="354" ht="14.25" customHeight="1">
      <c r="B354" s="8"/>
      <c r="C354" s="8"/>
      <c r="D354" s="8"/>
      <c r="E354" s="8"/>
      <c r="F354" s="1"/>
      <c r="T354" s="74"/>
      <c r="AA354" s="1"/>
      <c r="AH354" s="1"/>
      <c r="AO354" s="1"/>
    </row>
    <row r="355" ht="14.25" customHeight="1">
      <c r="B355" s="8"/>
      <c r="C355" s="8"/>
      <c r="D355" s="8"/>
      <c r="E355" s="8"/>
      <c r="F355" s="1"/>
      <c r="T355" s="74"/>
      <c r="AA355" s="1"/>
      <c r="AH355" s="1"/>
      <c r="AO355" s="1"/>
    </row>
    <row r="356" ht="14.25" customHeight="1">
      <c r="B356" s="8"/>
      <c r="C356" s="8"/>
      <c r="D356" s="8"/>
      <c r="E356" s="8"/>
      <c r="F356" s="1"/>
      <c r="T356" s="74"/>
      <c r="AA356" s="1"/>
      <c r="AH356" s="1"/>
      <c r="AO356" s="1"/>
    </row>
    <row r="357" ht="14.25" customHeight="1">
      <c r="B357" s="8"/>
      <c r="C357" s="8"/>
      <c r="D357" s="8"/>
      <c r="E357" s="8"/>
      <c r="F357" s="1"/>
      <c r="T357" s="74"/>
      <c r="AA357" s="1"/>
      <c r="AH357" s="1"/>
      <c r="AO357" s="1"/>
    </row>
    <row r="358" ht="14.25" customHeight="1">
      <c r="B358" s="8"/>
      <c r="C358" s="8"/>
      <c r="D358" s="8"/>
      <c r="E358" s="8"/>
      <c r="F358" s="1"/>
      <c r="T358" s="74"/>
      <c r="AA358" s="1"/>
      <c r="AH358" s="1"/>
      <c r="AO358" s="1"/>
    </row>
    <row r="359" ht="14.25" customHeight="1">
      <c r="B359" s="8"/>
      <c r="C359" s="8"/>
      <c r="D359" s="8"/>
      <c r="E359" s="8"/>
      <c r="F359" s="1"/>
      <c r="T359" s="74"/>
      <c r="AA359" s="1"/>
      <c r="AH359" s="1"/>
      <c r="AO359" s="1"/>
    </row>
    <row r="360" ht="14.25" customHeight="1">
      <c r="B360" s="8"/>
      <c r="C360" s="8"/>
      <c r="D360" s="8"/>
      <c r="E360" s="8"/>
      <c r="F360" s="1"/>
      <c r="T360" s="74"/>
      <c r="AA360" s="1"/>
      <c r="AH360" s="1"/>
      <c r="AO360" s="1"/>
    </row>
    <row r="361" ht="14.25" customHeight="1">
      <c r="B361" s="8"/>
      <c r="C361" s="8"/>
      <c r="D361" s="8"/>
      <c r="E361" s="8"/>
      <c r="F361" s="1"/>
      <c r="T361" s="74"/>
      <c r="AA361" s="1"/>
      <c r="AH361" s="1"/>
      <c r="AO361" s="1"/>
    </row>
    <row r="362" ht="14.25" customHeight="1">
      <c r="B362" s="8"/>
      <c r="C362" s="8"/>
      <c r="D362" s="8"/>
      <c r="E362" s="8"/>
      <c r="F362" s="1"/>
      <c r="T362" s="74"/>
      <c r="AA362" s="1"/>
      <c r="AH362" s="1"/>
      <c r="AO362" s="1"/>
    </row>
    <row r="363" ht="14.25" customHeight="1">
      <c r="B363" s="8"/>
      <c r="C363" s="8"/>
      <c r="D363" s="8"/>
      <c r="E363" s="8"/>
      <c r="F363" s="1"/>
      <c r="T363" s="74"/>
      <c r="AA363" s="1"/>
      <c r="AH363" s="1"/>
      <c r="AO363" s="1"/>
    </row>
    <row r="364" ht="14.25" customHeight="1">
      <c r="B364" s="8"/>
      <c r="C364" s="8"/>
      <c r="D364" s="8"/>
      <c r="E364" s="8"/>
      <c r="F364" s="1"/>
      <c r="T364" s="74"/>
      <c r="AA364" s="1"/>
      <c r="AH364" s="1"/>
      <c r="AO364" s="1"/>
    </row>
    <row r="365" ht="14.25" customHeight="1">
      <c r="B365" s="8"/>
      <c r="C365" s="8"/>
      <c r="D365" s="8"/>
      <c r="E365" s="8"/>
      <c r="F365" s="1"/>
      <c r="T365" s="74"/>
      <c r="AA365" s="1"/>
      <c r="AH365" s="1"/>
      <c r="AO365" s="1"/>
    </row>
    <row r="366" ht="14.25" customHeight="1">
      <c r="B366" s="8"/>
      <c r="C366" s="8"/>
      <c r="D366" s="8"/>
      <c r="E366" s="8"/>
      <c r="F366" s="1"/>
      <c r="T366" s="74"/>
      <c r="AA366" s="1"/>
      <c r="AH366" s="1"/>
      <c r="AO366" s="1"/>
    </row>
    <row r="367" ht="14.25" customHeight="1">
      <c r="B367" s="8"/>
      <c r="C367" s="8"/>
      <c r="D367" s="8"/>
      <c r="E367" s="8"/>
      <c r="F367" s="1"/>
      <c r="T367" s="74"/>
      <c r="AA367" s="1"/>
      <c r="AH367" s="1"/>
      <c r="AO367" s="1"/>
    </row>
    <row r="368" ht="14.25" customHeight="1">
      <c r="B368" s="8"/>
      <c r="C368" s="8"/>
      <c r="D368" s="8"/>
      <c r="E368" s="8"/>
      <c r="F368" s="1"/>
      <c r="T368" s="74"/>
      <c r="AA368" s="1"/>
      <c r="AH368" s="1"/>
      <c r="AO368" s="1"/>
    </row>
    <row r="369" ht="14.25" customHeight="1">
      <c r="B369" s="8"/>
      <c r="C369" s="8"/>
      <c r="D369" s="8"/>
      <c r="E369" s="8"/>
      <c r="F369" s="1"/>
      <c r="T369" s="74"/>
      <c r="AA369" s="1"/>
      <c r="AH369" s="1"/>
      <c r="AO369" s="1"/>
    </row>
    <row r="370" ht="14.25" customHeight="1">
      <c r="B370" s="8"/>
      <c r="C370" s="8"/>
      <c r="D370" s="8"/>
      <c r="E370" s="8"/>
      <c r="F370" s="1"/>
      <c r="T370" s="74"/>
      <c r="AA370" s="1"/>
      <c r="AH370" s="1"/>
      <c r="AO370" s="1"/>
    </row>
    <row r="371" ht="14.25" customHeight="1">
      <c r="B371" s="8"/>
      <c r="C371" s="8"/>
      <c r="D371" s="8"/>
      <c r="E371" s="8"/>
      <c r="F371" s="1"/>
      <c r="T371" s="74"/>
      <c r="AA371" s="1"/>
      <c r="AH371" s="1"/>
      <c r="AO371" s="1"/>
    </row>
    <row r="372" ht="14.25" customHeight="1">
      <c r="B372" s="8"/>
      <c r="C372" s="8"/>
      <c r="D372" s="8"/>
      <c r="E372" s="8"/>
      <c r="F372" s="1"/>
      <c r="T372" s="74"/>
      <c r="AA372" s="1"/>
      <c r="AH372" s="1"/>
      <c r="AO372" s="1"/>
    </row>
    <row r="373" ht="14.25" customHeight="1">
      <c r="B373" s="8"/>
      <c r="C373" s="8"/>
      <c r="D373" s="8"/>
      <c r="E373" s="8"/>
      <c r="F373" s="1"/>
      <c r="T373" s="74"/>
      <c r="AA373" s="1"/>
      <c r="AH373" s="1"/>
      <c r="AO373" s="1"/>
    </row>
    <row r="374" ht="14.25" customHeight="1">
      <c r="B374" s="8"/>
      <c r="C374" s="8"/>
      <c r="D374" s="8"/>
      <c r="E374" s="8"/>
      <c r="F374" s="1"/>
      <c r="T374" s="74"/>
      <c r="AA374" s="1"/>
      <c r="AH374" s="1"/>
      <c r="AO374" s="1"/>
    </row>
    <row r="375" ht="14.25" customHeight="1">
      <c r="B375" s="8"/>
      <c r="C375" s="8"/>
      <c r="D375" s="8"/>
      <c r="E375" s="8"/>
      <c r="F375" s="1"/>
      <c r="T375" s="74"/>
      <c r="AA375" s="1"/>
      <c r="AH375" s="1"/>
      <c r="AO375" s="1"/>
    </row>
    <row r="376" ht="14.25" customHeight="1">
      <c r="B376" s="8"/>
      <c r="C376" s="8"/>
      <c r="D376" s="8"/>
      <c r="E376" s="8"/>
      <c r="F376" s="1"/>
      <c r="T376" s="74"/>
      <c r="AA376" s="1"/>
      <c r="AH376" s="1"/>
      <c r="AO376" s="1"/>
    </row>
    <row r="377" ht="14.25" customHeight="1">
      <c r="B377" s="8"/>
      <c r="C377" s="8"/>
      <c r="D377" s="8"/>
      <c r="E377" s="8"/>
      <c r="F377" s="1"/>
      <c r="T377" s="74"/>
      <c r="AA377" s="1"/>
      <c r="AH377" s="1"/>
      <c r="AO377" s="1"/>
    </row>
    <row r="378" ht="14.25" customHeight="1">
      <c r="B378" s="8"/>
      <c r="C378" s="8"/>
      <c r="D378" s="8"/>
      <c r="E378" s="8"/>
      <c r="F378" s="1"/>
      <c r="T378" s="74"/>
      <c r="AA378" s="1"/>
      <c r="AH378" s="1"/>
      <c r="AO378" s="1"/>
    </row>
    <row r="379" ht="14.25" customHeight="1">
      <c r="B379" s="8"/>
      <c r="C379" s="8"/>
      <c r="D379" s="8"/>
      <c r="E379" s="8"/>
      <c r="F379" s="1"/>
      <c r="T379" s="74"/>
      <c r="AA379" s="1"/>
      <c r="AH379" s="1"/>
      <c r="AO379" s="1"/>
    </row>
    <row r="380" ht="14.25" customHeight="1">
      <c r="B380" s="8"/>
      <c r="C380" s="8"/>
      <c r="D380" s="8"/>
      <c r="E380" s="8"/>
      <c r="F380" s="1"/>
      <c r="T380" s="74"/>
      <c r="AA380" s="1"/>
      <c r="AH380" s="1"/>
      <c r="AO380" s="1"/>
    </row>
    <row r="381" ht="14.25" customHeight="1">
      <c r="B381" s="8"/>
      <c r="C381" s="8"/>
      <c r="D381" s="8"/>
      <c r="E381" s="8"/>
      <c r="F381" s="1"/>
      <c r="T381" s="74"/>
      <c r="AA381" s="1"/>
      <c r="AH381" s="1"/>
      <c r="AO381" s="1"/>
    </row>
    <row r="382" ht="14.25" customHeight="1">
      <c r="B382" s="8"/>
      <c r="C382" s="8"/>
      <c r="D382" s="8"/>
      <c r="E382" s="8"/>
      <c r="F382" s="1"/>
      <c r="T382" s="74"/>
      <c r="AA382" s="1"/>
      <c r="AH382" s="1"/>
      <c r="AO382" s="1"/>
    </row>
    <row r="383" ht="14.25" customHeight="1">
      <c r="B383" s="8"/>
      <c r="C383" s="8"/>
      <c r="D383" s="8"/>
      <c r="E383" s="8"/>
      <c r="F383" s="1"/>
      <c r="T383" s="74"/>
      <c r="AA383" s="1"/>
      <c r="AH383" s="1"/>
      <c r="AO383" s="1"/>
    </row>
    <row r="384" ht="14.25" customHeight="1">
      <c r="B384" s="8"/>
      <c r="C384" s="8"/>
      <c r="D384" s="8"/>
      <c r="E384" s="8"/>
      <c r="F384" s="1"/>
      <c r="T384" s="74"/>
      <c r="AA384" s="1"/>
      <c r="AH384" s="1"/>
      <c r="AO384" s="1"/>
    </row>
    <row r="385" ht="14.25" customHeight="1">
      <c r="B385" s="8"/>
      <c r="C385" s="8"/>
      <c r="D385" s="8"/>
      <c r="E385" s="8"/>
      <c r="F385" s="1"/>
      <c r="T385" s="74"/>
      <c r="AA385" s="1"/>
      <c r="AH385" s="1"/>
      <c r="AO385" s="1"/>
    </row>
    <row r="386" ht="14.25" customHeight="1">
      <c r="B386" s="8"/>
      <c r="C386" s="8"/>
      <c r="D386" s="8"/>
      <c r="E386" s="8"/>
      <c r="F386" s="1"/>
      <c r="T386" s="74"/>
      <c r="AA386" s="1"/>
      <c r="AH386" s="1"/>
      <c r="AO386" s="1"/>
    </row>
    <row r="387" ht="14.25" customHeight="1">
      <c r="B387" s="8"/>
      <c r="C387" s="8"/>
      <c r="D387" s="8"/>
      <c r="E387" s="8"/>
      <c r="F387" s="1"/>
      <c r="T387" s="74"/>
      <c r="AA387" s="1"/>
      <c r="AH387" s="1"/>
      <c r="AO387" s="1"/>
    </row>
    <row r="388" ht="14.25" customHeight="1">
      <c r="B388" s="8"/>
      <c r="C388" s="8"/>
      <c r="D388" s="8"/>
      <c r="E388" s="8"/>
      <c r="F388" s="1"/>
      <c r="T388" s="74"/>
      <c r="AA388" s="1"/>
      <c r="AH388" s="1"/>
      <c r="AO388" s="1"/>
    </row>
    <row r="389" ht="14.25" customHeight="1">
      <c r="B389" s="8"/>
      <c r="C389" s="8"/>
      <c r="D389" s="8"/>
      <c r="E389" s="8"/>
      <c r="F389" s="1"/>
      <c r="T389" s="74"/>
      <c r="AA389" s="1"/>
      <c r="AH389" s="1"/>
      <c r="AO389" s="1"/>
    </row>
    <row r="390" ht="14.25" customHeight="1">
      <c r="B390" s="8"/>
      <c r="C390" s="8"/>
      <c r="D390" s="8"/>
      <c r="E390" s="8"/>
      <c r="F390" s="1"/>
      <c r="T390" s="74"/>
      <c r="AA390" s="1"/>
      <c r="AH390" s="1"/>
      <c r="AO390" s="1"/>
    </row>
    <row r="391" ht="14.25" customHeight="1">
      <c r="B391" s="8"/>
      <c r="C391" s="8"/>
      <c r="D391" s="8"/>
      <c r="E391" s="8"/>
      <c r="F391" s="1"/>
      <c r="T391" s="74"/>
      <c r="AA391" s="1"/>
      <c r="AH391" s="1"/>
      <c r="AO391" s="1"/>
    </row>
    <row r="392" ht="14.25" customHeight="1">
      <c r="B392" s="8"/>
      <c r="C392" s="8"/>
      <c r="D392" s="8"/>
      <c r="E392" s="8"/>
      <c r="F392" s="1"/>
      <c r="T392" s="74"/>
      <c r="AA392" s="1"/>
      <c r="AH392" s="1"/>
      <c r="AO392" s="1"/>
    </row>
    <row r="393" ht="14.25" customHeight="1">
      <c r="B393" s="8"/>
      <c r="C393" s="8"/>
      <c r="D393" s="8"/>
      <c r="E393" s="8"/>
      <c r="F393" s="1"/>
      <c r="T393" s="74"/>
      <c r="AA393" s="1"/>
      <c r="AH393" s="1"/>
      <c r="AO393" s="1"/>
    </row>
    <row r="394" ht="14.25" customHeight="1">
      <c r="B394" s="8"/>
      <c r="C394" s="8"/>
      <c r="D394" s="8"/>
      <c r="E394" s="8"/>
      <c r="F394" s="1"/>
      <c r="T394" s="74"/>
      <c r="AA394" s="1"/>
      <c r="AH394" s="1"/>
      <c r="AO394" s="1"/>
    </row>
    <row r="395" ht="14.25" customHeight="1">
      <c r="B395" s="8"/>
      <c r="C395" s="8"/>
      <c r="D395" s="8"/>
      <c r="E395" s="8"/>
      <c r="F395" s="1"/>
      <c r="T395" s="74"/>
      <c r="AA395" s="1"/>
      <c r="AH395" s="1"/>
      <c r="AO395" s="1"/>
    </row>
    <row r="396" ht="14.25" customHeight="1">
      <c r="B396" s="8"/>
      <c r="C396" s="8"/>
      <c r="D396" s="8"/>
      <c r="E396" s="8"/>
      <c r="F396" s="1"/>
      <c r="T396" s="74"/>
      <c r="AA396" s="1"/>
      <c r="AH396" s="1"/>
      <c r="AO396" s="1"/>
    </row>
    <row r="397" ht="14.25" customHeight="1">
      <c r="B397" s="8"/>
      <c r="C397" s="8"/>
      <c r="D397" s="8"/>
      <c r="E397" s="8"/>
      <c r="F397" s="1"/>
      <c r="T397" s="74"/>
      <c r="AA397" s="1"/>
      <c r="AH397" s="1"/>
      <c r="AO397" s="1"/>
    </row>
    <row r="398" ht="14.25" customHeight="1">
      <c r="B398" s="8"/>
      <c r="C398" s="8"/>
      <c r="D398" s="8"/>
      <c r="E398" s="8"/>
      <c r="F398" s="1"/>
      <c r="T398" s="74"/>
      <c r="AA398" s="1"/>
      <c r="AH398" s="1"/>
      <c r="AO398" s="1"/>
    </row>
    <row r="399" ht="14.25" customHeight="1">
      <c r="B399" s="8"/>
      <c r="C399" s="8"/>
      <c r="D399" s="8"/>
      <c r="E399" s="8"/>
      <c r="F399" s="1"/>
      <c r="T399" s="74"/>
      <c r="AA399" s="1"/>
      <c r="AH399" s="1"/>
      <c r="AO399" s="1"/>
    </row>
    <row r="400" ht="14.25" customHeight="1">
      <c r="B400" s="8"/>
      <c r="C400" s="8"/>
      <c r="D400" s="8"/>
      <c r="E400" s="8"/>
      <c r="F400" s="1"/>
      <c r="T400" s="74"/>
      <c r="AA400" s="1"/>
      <c r="AH400" s="1"/>
      <c r="AO400" s="1"/>
    </row>
    <row r="401" ht="14.25" customHeight="1">
      <c r="B401" s="8"/>
      <c r="C401" s="8"/>
      <c r="D401" s="8"/>
      <c r="E401" s="8"/>
      <c r="F401" s="1"/>
      <c r="T401" s="74"/>
      <c r="AA401" s="1"/>
      <c r="AH401" s="1"/>
      <c r="AO401" s="1"/>
    </row>
    <row r="402" ht="14.25" customHeight="1">
      <c r="B402" s="8"/>
      <c r="C402" s="8"/>
      <c r="D402" s="8"/>
      <c r="E402" s="8"/>
      <c r="F402" s="1"/>
      <c r="T402" s="74"/>
      <c r="AA402" s="1"/>
      <c r="AH402" s="1"/>
      <c r="AO402" s="1"/>
    </row>
    <row r="403" ht="14.25" customHeight="1">
      <c r="B403" s="8"/>
      <c r="C403" s="8"/>
      <c r="D403" s="8"/>
      <c r="E403" s="8"/>
      <c r="F403" s="1"/>
      <c r="T403" s="74"/>
      <c r="AA403" s="1"/>
      <c r="AH403" s="1"/>
      <c r="AO403" s="1"/>
    </row>
    <row r="404" ht="14.25" customHeight="1">
      <c r="B404" s="8"/>
      <c r="C404" s="8"/>
      <c r="D404" s="8"/>
      <c r="E404" s="8"/>
      <c r="F404" s="1"/>
      <c r="T404" s="74"/>
      <c r="AA404" s="1"/>
      <c r="AH404" s="1"/>
      <c r="AO404" s="1"/>
    </row>
    <row r="405" ht="14.25" customHeight="1">
      <c r="B405" s="8"/>
      <c r="C405" s="8"/>
      <c r="D405" s="8"/>
      <c r="E405" s="8"/>
      <c r="F405" s="1"/>
      <c r="T405" s="74"/>
      <c r="AA405" s="1"/>
      <c r="AH405" s="1"/>
      <c r="AO405" s="1"/>
    </row>
    <row r="406" ht="14.25" customHeight="1">
      <c r="B406" s="8"/>
      <c r="C406" s="8"/>
      <c r="D406" s="8"/>
      <c r="E406" s="8"/>
      <c r="F406" s="1"/>
      <c r="T406" s="74"/>
      <c r="AA406" s="1"/>
      <c r="AH406" s="1"/>
      <c r="AO406" s="1"/>
    </row>
    <row r="407" ht="14.25" customHeight="1">
      <c r="B407" s="8"/>
      <c r="C407" s="8"/>
      <c r="D407" s="8"/>
      <c r="E407" s="8"/>
      <c r="F407" s="1"/>
      <c r="T407" s="74"/>
      <c r="AA407" s="1"/>
      <c r="AH407" s="1"/>
      <c r="AO407" s="1"/>
    </row>
    <row r="408" ht="14.25" customHeight="1">
      <c r="B408" s="8"/>
      <c r="C408" s="8"/>
      <c r="D408" s="8"/>
      <c r="E408" s="8"/>
      <c r="F408" s="1"/>
      <c r="T408" s="74"/>
      <c r="AA408" s="1"/>
      <c r="AH408" s="1"/>
      <c r="AO408" s="1"/>
    </row>
    <row r="409" ht="14.25" customHeight="1">
      <c r="B409" s="8"/>
      <c r="C409" s="8"/>
      <c r="D409" s="8"/>
      <c r="E409" s="8"/>
      <c r="F409" s="1"/>
      <c r="T409" s="74"/>
      <c r="AA409" s="1"/>
      <c r="AH409" s="1"/>
      <c r="AO409" s="1"/>
    </row>
    <row r="410" ht="14.25" customHeight="1">
      <c r="B410" s="8"/>
      <c r="C410" s="8"/>
      <c r="D410" s="8"/>
      <c r="E410" s="8"/>
      <c r="F410" s="1"/>
      <c r="T410" s="74"/>
      <c r="AA410" s="1"/>
      <c r="AH410" s="1"/>
      <c r="AO410" s="1"/>
    </row>
    <row r="411" ht="14.25" customHeight="1">
      <c r="B411" s="8"/>
      <c r="C411" s="8"/>
      <c r="D411" s="8"/>
      <c r="E411" s="8"/>
      <c r="F411" s="1"/>
      <c r="T411" s="74"/>
      <c r="AA411" s="1"/>
      <c r="AH411" s="1"/>
      <c r="AO411" s="1"/>
    </row>
    <row r="412" ht="14.25" customHeight="1">
      <c r="B412" s="8"/>
      <c r="C412" s="8"/>
      <c r="D412" s="8"/>
      <c r="E412" s="8"/>
      <c r="F412" s="1"/>
      <c r="T412" s="74"/>
      <c r="AA412" s="1"/>
      <c r="AH412" s="1"/>
      <c r="AO412" s="1"/>
    </row>
    <row r="413" ht="14.25" customHeight="1">
      <c r="B413" s="8"/>
      <c r="C413" s="8"/>
      <c r="D413" s="8"/>
      <c r="E413" s="8"/>
      <c r="F413" s="1"/>
      <c r="T413" s="74"/>
      <c r="AA413" s="1"/>
      <c r="AH413" s="1"/>
      <c r="AO413" s="1"/>
    </row>
    <row r="414" ht="14.25" customHeight="1">
      <c r="B414" s="8"/>
      <c r="C414" s="8"/>
      <c r="D414" s="8"/>
      <c r="E414" s="8"/>
      <c r="F414" s="1"/>
      <c r="T414" s="74"/>
      <c r="AA414" s="1"/>
      <c r="AH414" s="1"/>
      <c r="AO414" s="1"/>
    </row>
    <row r="415" ht="14.25" customHeight="1">
      <c r="B415" s="8"/>
      <c r="C415" s="8"/>
      <c r="D415" s="8"/>
      <c r="E415" s="8"/>
      <c r="F415" s="1"/>
      <c r="T415" s="74"/>
      <c r="AA415" s="1"/>
      <c r="AH415" s="1"/>
      <c r="AO415" s="1"/>
    </row>
    <row r="416" ht="14.25" customHeight="1">
      <c r="B416" s="8"/>
      <c r="C416" s="8"/>
      <c r="D416" s="8"/>
      <c r="E416" s="8"/>
      <c r="F416" s="1"/>
      <c r="T416" s="74"/>
      <c r="AA416" s="1"/>
      <c r="AH416" s="1"/>
      <c r="AO416" s="1"/>
    </row>
    <row r="417" ht="14.25" customHeight="1">
      <c r="B417" s="8"/>
      <c r="C417" s="8"/>
      <c r="D417" s="8"/>
      <c r="E417" s="8"/>
      <c r="F417" s="1"/>
      <c r="T417" s="74"/>
      <c r="AA417" s="1"/>
      <c r="AH417" s="1"/>
      <c r="AO417" s="1"/>
    </row>
    <row r="418" ht="14.25" customHeight="1">
      <c r="B418" s="8"/>
      <c r="C418" s="8"/>
      <c r="D418" s="8"/>
      <c r="E418" s="8"/>
      <c r="F418" s="1"/>
      <c r="T418" s="74"/>
      <c r="AA418" s="1"/>
      <c r="AH418" s="1"/>
      <c r="AO418" s="1"/>
    </row>
    <row r="419" ht="14.25" customHeight="1">
      <c r="B419" s="8"/>
      <c r="C419" s="8"/>
      <c r="D419" s="8"/>
      <c r="E419" s="8"/>
      <c r="F419" s="1"/>
      <c r="T419" s="74"/>
      <c r="AA419" s="1"/>
      <c r="AH419" s="1"/>
      <c r="AO419" s="1"/>
    </row>
    <row r="420" ht="14.25" customHeight="1">
      <c r="B420" s="8"/>
      <c r="C420" s="8"/>
      <c r="D420" s="8"/>
      <c r="E420" s="8"/>
      <c r="F420" s="1"/>
      <c r="T420" s="74"/>
      <c r="AA420" s="1"/>
      <c r="AH420" s="1"/>
      <c r="AO420" s="1"/>
    </row>
    <row r="421" ht="14.25" customHeight="1">
      <c r="B421" s="8"/>
      <c r="C421" s="8"/>
      <c r="D421" s="8"/>
      <c r="E421" s="8"/>
      <c r="F421" s="1"/>
      <c r="T421" s="74"/>
      <c r="AA421" s="1"/>
      <c r="AH421" s="1"/>
      <c r="AO421" s="1"/>
    </row>
    <row r="422" ht="14.25" customHeight="1">
      <c r="B422" s="8"/>
      <c r="C422" s="8"/>
      <c r="D422" s="8"/>
      <c r="E422" s="8"/>
      <c r="F422" s="1"/>
      <c r="T422" s="74"/>
      <c r="AA422" s="1"/>
      <c r="AH422" s="1"/>
      <c r="AO422" s="1"/>
    </row>
    <row r="423" ht="14.25" customHeight="1">
      <c r="B423" s="8"/>
      <c r="C423" s="8"/>
      <c r="D423" s="8"/>
      <c r="E423" s="8"/>
      <c r="F423" s="1"/>
      <c r="T423" s="74"/>
      <c r="AA423" s="1"/>
      <c r="AH423" s="1"/>
      <c r="AO423" s="1"/>
    </row>
    <row r="424" ht="14.25" customHeight="1">
      <c r="B424" s="8"/>
      <c r="C424" s="8"/>
      <c r="D424" s="8"/>
      <c r="E424" s="8"/>
      <c r="F424" s="1"/>
      <c r="T424" s="74"/>
      <c r="AA424" s="1"/>
      <c r="AH424" s="1"/>
      <c r="AO424" s="1"/>
    </row>
    <row r="425" ht="14.25" customHeight="1">
      <c r="B425" s="8"/>
      <c r="C425" s="8"/>
      <c r="D425" s="8"/>
      <c r="E425" s="8"/>
      <c r="F425" s="1"/>
      <c r="T425" s="74"/>
      <c r="AA425" s="1"/>
      <c r="AH425" s="1"/>
      <c r="AO425" s="1"/>
    </row>
    <row r="426" ht="14.25" customHeight="1">
      <c r="B426" s="8"/>
      <c r="C426" s="8"/>
      <c r="D426" s="8"/>
      <c r="E426" s="8"/>
      <c r="F426" s="1"/>
      <c r="T426" s="74"/>
      <c r="AA426" s="1"/>
      <c r="AH426" s="1"/>
      <c r="AO426" s="1"/>
    </row>
    <row r="427" ht="14.25" customHeight="1">
      <c r="B427" s="8"/>
      <c r="C427" s="8"/>
      <c r="D427" s="8"/>
      <c r="E427" s="8"/>
      <c r="F427" s="1"/>
      <c r="T427" s="74"/>
      <c r="AA427" s="1"/>
      <c r="AH427" s="1"/>
      <c r="AO427" s="1"/>
    </row>
    <row r="428" ht="14.25" customHeight="1">
      <c r="B428" s="8"/>
      <c r="C428" s="8"/>
      <c r="D428" s="8"/>
      <c r="E428" s="8"/>
      <c r="F428" s="1"/>
      <c r="T428" s="74"/>
      <c r="AA428" s="1"/>
      <c r="AH428" s="1"/>
      <c r="AO428" s="1"/>
    </row>
    <row r="429" ht="14.25" customHeight="1">
      <c r="B429" s="8"/>
      <c r="C429" s="8"/>
      <c r="D429" s="8"/>
      <c r="E429" s="8"/>
      <c r="F429" s="1"/>
      <c r="T429" s="74"/>
      <c r="AA429" s="1"/>
      <c r="AH429" s="1"/>
      <c r="AO429" s="1"/>
    </row>
    <row r="430" ht="14.25" customHeight="1">
      <c r="B430" s="8"/>
      <c r="C430" s="8"/>
      <c r="D430" s="8"/>
      <c r="E430" s="8"/>
      <c r="F430" s="1"/>
      <c r="T430" s="74"/>
      <c r="AA430" s="1"/>
      <c r="AH430" s="1"/>
      <c r="AO430" s="1"/>
    </row>
    <row r="431" ht="14.25" customHeight="1">
      <c r="B431" s="8"/>
      <c r="C431" s="8"/>
      <c r="D431" s="8"/>
      <c r="E431" s="8"/>
      <c r="F431" s="1"/>
      <c r="T431" s="74"/>
      <c r="AA431" s="1"/>
      <c r="AH431" s="1"/>
      <c r="AO431" s="1"/>
    </row>
    <row r="432" ht="14.25" customHeight="1">
      <c r="B432" s="8"/>
      <c r="C432" s="8"/>
      <c r="D432" s="8"/>
      <c r="E432" s="8"/>
      <c r="F432" s="1"/>
      <c r="T432" s="74"/>
      <c r="AA432" s="1"/>
      <c r="AH432" s="1"/>
      <c r="AO432" s="1"/>
    </row>
    <row r="433" ht="14.25" customHeight="1">
      <c r="B433" s="8"/>
      <c r="C433" s="8"/>
      <c r="D433" s="8"/>
      <c r="E433" s="8"/>
      <c r="F433" s="1"/>
      <c r="T433" s="74"/>
      <c r="AA433" s="1"/>
      <c r="AH433" s="1"/>
      <c r="AO433" s="1"/>
    </row>
    <row r="434" ht="14.25" customHeight="1">
      <c r="B434" s="8"/>
      <c r="C434" s="8"/>
      <c r="D434" s="8"/>
      <c r="E434" s="8"/>
      <c r="F434" s="1"/>
      <c r="T434" s="74"/>
      <c r="AA434" s="1"/>
      <c r="AH434" s="1"/>
      <c r="AO434" s="1"/>
    </row>
    <row r="435" ht="14.25" customHeight="1">
      <c r="B435" s="8"/>
      <c r="C435" s="8"/>
      <c r="D435" s="8"/>
      <c r="E435" s="8"/>
      <c r="F435" s="1"/>
      <c r="T435" s="74"/>
      <c r="AA435" s="1"/>
      <c r="AH435" s="1"/>
      <c r="AO435" s="1"/>
    </row>
    <row r="436" ht="14.25" customHeight="1">
      <c r="B436" s="8"/>
      <c r="C436" s="8"/>
      <c r="D436" s="8"/>
      <c r="E436" s="8"/>
      <c r="F436" s="1"/>
      <c r="T436" s="74"/>
      <c r="AA436" s="1"/>
      <c r="AH436" s="1"/>
      <c r="AO436" s="1"/>
    </row>
    <row r="437" ht="14.25" customHeight="1">
      <c r="B437" s="8"/>
      <c r="C437" s="8"/>
      <c r="D437" s="8"/>
      <c r="E437" s="8"/>
      <c r="F437" s="1"/>
      <c r="T437" s="74"/>
      <c r="AA437" s="1"/>
      <c r="AH437" s="1"/>
      <c r="AO437" s="1"/>
    </row>
    <row r="438" ht="14.25" customHeight="1">
      <c r="B438" s="8"/>
      <c r="C438" s="8"/>
      <c r="D438" s="8"/>
      <c r="E438" s="8"/>
      <c r="F438" s="1"/>
      <c r="T438" s="74"/>
      <c r="AA438" s="1"/>
      <c r="AH438" s="1"/>
      <c r="AO438" s="1"/>
    </row>
    <row r="439" ht="14.25" customHeight="1">
      <c r="B439" s="8"/>
      <c r="C439" s="8"/>
      <c r="D439" s="8"/>
      <c r="E439" s="8"/>
      <c r="F439" s="1"/>
      <c r="T439" s="74"/>
      <c r="AA439" s="1"/>
      <c r="AH439" s="1"/>
      <c r="AO439" s="1"/>
    </row>
    <row r="440" ht="14.25" customHeight="1">
      <c r="B440" s="8"/>
      <c r="C440" s="8"/>
      <c r="D440" s="8"/>
      <c r="E440" s="8"/>
      <c r="F440" s="1"/>
      <c r="T440" s="74"/>
      <c r="AA440" s="1"/>
      <c r="AH440" s="1"/>
      <c r="AO440" s="1"/>
    </row>
    <row r="441" ht="14.25" customHeight="1">
      <c r="B441" s="8"/>
      <c r="C441" s="8"/>
      <c r="D441" s="8"/>
      <c r="E441" s="8"/>
      <c r="F441" s="1"/>
      <c r="T441" s="74"/>
      <c r="AA441" s="1"/>
      <c r="AH441" s="1"/>
      <c r="AO441" s="1"/>
    </row>
    <row r="442" ht="14.25" customHeight="1">
      <c r="B442" s="8"/>
      <c r="C442" s="8"/>
      <c r="D442" s="8"/>
      <c r="E442" s="8"/>
      <c r="F442" s="1"/>
      <c r="T442" s="74"/>
      <c r="AA442" s="1"/>
      <c r="AH442" s="1"/>
      <c r="AO442" s="1"/>
    </row>
    <row r="443" ht="14.25" customHeight="1">
      <c r="B443" s="8"/>
      <c r="C443" s="8"/>
      <c r="D443" s="8"/>
      <c r="E443" s="8"/>
      <c r="F443" s="1"/>
      <c r="T443" s="74"/>
      <c r="AA443" s="1"/>
      <c r="AH443" s="1"/>
      <c r="AO443" s="1"/>
    </row>
    <row r="444" ht="14.25" customHeight="1">
      <c r="B444" s="8"/>
      <c r="C444" s="8"/>
      <c r="D444" s="8"/>
      <c r="E444" s="8"/>
      <c r="F444" s="1"/>
      <c r="T444" s="74"/>
      <c r="AA444" s="1"/>
      <c r="AH444" s="1"/>
      <c r="AO444" s="1"/>
    </row>
    <row r="445" ht="14.25" customHeight="1">
      <c r="B445" s="8"/>
      <c r="C445" s="8"/>
      <c r="D445" s="8"/>
      <c r="E445" s="8"/>
      <c r="F445" s="1"/>
      <c r="T445" s="74"/>
      <c r="AA445" s="1"/>
      <c r="AH445" s="1"/>
      <c r="AO445" s="1"/>
    </row>
    <row r="446" ht="14.25" customHeight="1">
      <c r="B446" s="8"/>
      <c r="C446" s="8"/>
      <c r="D446" s="8"/>
      <c r="E446" s="8"/>
      <c r="F446" s="1"/>
      <c r="T446" s="74"/>
      <c r="AA446" s="1"/>
      <c r="AH446" s="1"/>
      <c r="AO446" s="1"/>
    </row>
    <row r="447" ht="14.25" customHeight="1">
      <c r="B447" s="8"/>
      <c r="C447" s="8"/>
      <c r="D447" s="8"/>
      <c r="E447" s="8"/>
      <c r="F447" s="1"/>
      <c r="T447" s="74"/>
      <c r="AA447" s="1"/>
      <c r="AH447" s="1"/>
      <c r="AO447" s="1"/>
    </row>
    <row r="448" ht="14.25" customHeight="1">
      <c r="B448" s="8"/>
      <c r="C448" s="8"/>
      <c r="D448" s="8"/>
      <c r="E448" s="8"/>
      <c r="F448" s="1"/>
      <c r="T448" s="74"/>
      <c r="AA448" s="1"/>
      <c r="AH448" s="1"/>
      <c r="AO448" s="1"/>
    </row>
    <row r="449" ht="14.25" customHeight="1">
      <c r="B449" s="8"/>
      <c r="C449" s="8"/>
      <c r="D449" s="8"/>
      <c r="E449" s="8"/>
      <c r="F449" s="1"/>
      <c r="T449" s="74"/>
      <c r="AA449" s="1"/>
      <c r="AH449" s="1"/>
      <c r="AO449" s="1"/>
    </row>
    <row r="450" ht="14.25" customHeight="1">
      <c r="B450" s="8"/>
      <c r="C450" s="8"/>
      <c r="D450" s="8"/>
      <c r="E450" s="8"/>
      <c r="F450" s="1"/>
      <c r="T450" s="74"/>
      <c r="AA450" s="1"/>
      <c r="AH450" s="1"/>
      <c r="AO450" s="1"/>
    </row>
    <row r="451" ht="14.25" customHeight="1">
      <c r="B451" s="8"/>
      <c r="C451" s="8"/>
      <c r="D451" s="8"/>
      <c r="E451" s="8"/>
      <c r="F451" s="1"/>
      <c r="T451" s="74"/>
      <c r="AA451" s="1"/>
      <c r="AH451" s="1"/>
      <c r="AO451" s="1"/>
    </row>
    <row r="452" ht="14.25" customHeight="1">
      <c r="B452" s="8"/>
      <c r="C452" s="8"/>
      <c r="D452" s="8"/>
      <c r="E452" s="8"/>
      <c r="F452" s="1"/>
      <c r="T452" s="74"/>
      <c r="AA452" s="1"/>
      <c r="AH452" s="1"/>
      <c r="AO452" s="1"/>
    </row>
    <row r="453" ht="14.25" customHeight="1">
      <c r="B453" s="8"/>
      <c r="C453" s="8"/>
      <c r="D453" s="8"/>
      <c r="E453" s="8"/>
      <c r="F453" s="1"/>
      <c r="T453" s="74"/>
      <c r="AA453" s="1"/>
      <c r="AH453" s="1"/>
      <c r="AO453" s="1"/>
    </row>
    <row r="454" ht="14.25" customHeight="1">
      <c r="B454" s="8"/>
      <c r="C454" s="8"/>
      <c r="D454" s="8"/>
      <c r="E454" s="8"/>
      <c r="F454" s="1"/>
      <c r="T454" s="74"/>
      <c r="AA454" s="1"/>
      <c r="AH454" s="1"/>
      <c r="AO454" s="1"/>
    </row>
    <row r="455" ht="14.25" customHeight="1">
      <c r="B455" s="8"/>
      <c r="C455" s="8"/>
      <c r="D455" s="8"/>
      <c r="E455" s="8"/>
      <c r="F455" s="1"/>
      <c r="T455" s="74"/>
      <c r="AA455" s="1"/>
      <c r="AH455" s="1"/>
      <c r="AO455" s="1"/>
    </row>
    <row r="456" ht="14.25" customHeight="1">
      <c r="B456" s="8"/>
      <c r="C456" s="8"/>
      <c r="D456" s="8"/>
      <c r="E456" s="8"/>
      <c r="F456" s="1"/>
      <c r="T456" s="74"/>
      <c r="AA456" s="1"/>
      <c r="AH456" s="1"/>
      <c r="AO456" s="1"/>
    </row>
    <row r="457" ht="14.25" customHeight="1">
      <c r="B457" s="8"/>
      <c r="C457" s="8"/>
      <c r="D457" s="8"/>
      <c r="E457" s="8"/>
      <c r="F457" s="1"/>
      <c r="T457" s="74"/>
      <c r="AA457" s="1"/>
      <c r="AH457" s="1"/>
      <c r="AO457" s="1"/>
    </row>
    <row r="458" ht="14.25" customHeight="1">
      <c r="B458" s="8"/>
      <c r="C458" s="8"/>
      <c r="D458" s="8"/>
      <c r="E458" s="8"/>
      <c r="F458" s="1"/>
      <c r="T458" s="74"/>
      <c r="AA458" s="1"/>
      <c r="AH458" s="1"/>
      <c r="AO458" s="1"/>
    </row>
    <row r="459" ht="14.25" customHeight="1">
      <c r="B459" s="8"/>
      <c r="C459" s="8"/>
      <c r="D459" s="8"/>
      <c r="E459" s="8"/>
      <c r="F459" s="1"/>
      <c r="T459" s="74"/>
      <c r="AA459" s="1"/>
      <c r="AH459" s="1"/>
      <c r="AO459" s="1"/>
    </row>
    <row r="460" ht="14.25" customHeight="1">
      <c r="B460" s="8"/>
      <c r="C460" s="8"/>
      <c r="D460" s="8"/>
      <c r="E460" s="8"/>
      <c r="F460" s="1"/>
      <c r="T460" s="74"/>
      <c r="AA460" s="1"/>
      <c r="AH460" s="1"/>
      <c r="AO460" s="1"/>
    </row>
    <row r="461" ht="14.25" customHeight="1">
      <c r="B461" s="8"/>
      <c r="C461" s="8"/>
      <c r="D461" s="8"/>
      <c r="E461" s="8"/>
      <c r="F461" s="1"/>
      <c r="T461" s="74"/>
      <c r="AA461" s="1"/>
      <c r="AH461" s="1"/>
      <c r="AO461" s="1"/>
    </row>
    <row r="462" ht="14.25" customHeight="1">
      <c r="B462" s="8"/>
      <c r="C462" s="8"/>
      <c r="D462" s="8"/>
      <c r="E462" s="8"/>
      <c r="F462" s="1"/>
      <c r="T462" s="74"/>
      <c r="AA462" s="1"/>
      <c r="AH462" s="1"/>
      <c r="AO462" s="1"/>
    </row>
    <row r="463" ht="14.25" customHeight="1">
      <c r="B463" s="8"/>
      <c r="C463" s="8"/>
      <c r="D463" s="8"/>
      <c r="E463" s="8"/>
      <c r="F463" s="1"/>
      <c r="T463" s="74"/>
      <c r="AA463" s="1"/>
      <c r="AH463" s="1"/>
      <c r="AO463" s="1"/>
    </row>
    <row r="464" ht="14.25" customHeight="1">
      <c r="B464" s="8"/>
      <c r="C464" s="8"/>
      <c r="D464" s="8"/>
      <c r="E464" s="8"/>
      <c r="F464" s="1"/>
      <c r="T464" s="74"/>
      <c r="AA464" s="1"/>
      <c r="AH464" s="1"/>
      <c r="AO464" s="1"/>
    </row>
    <row r="465" ht="14.25" customHeight="1">
      <c r="B465" s="8"/>
      <c r="C465" s="8"/>
      <c r="D465" s="8"/>
      <c r="E465" s="8"/>
      <c r="F465" s="1"/>
      <c r="T465" s="74"/>
      <c r="AA465" s="1"/>
      <c r="AH465" s="1"/>
      <c r="AO465" s="1"/>
    </row>
    <row r="466" ht="14.25" customHeight="1">
      <c r="B466" s="8"/>
      <c r="C466" s="8"/>
      <c r="D466" s="8"/>
      <c r="E466" s="8"/>
      <c r="F466" s="1"/>
      <c r="T466" s="74"/>
      <c r="AA466" s="1"/>
      <c r="AH466" s="1"/>
      <c r="AO466" s="1"/>
    </row>
    <row r="467" ht="14.25" customHeight="1">
      <c r="B467" s="8"/>
      <c r="C467" s="8"/>
      <c r="D467" s="8"/>
      <c r="E467" s="8"/>
      <c r="F467" s="1"/>
      <c r="T467" s="74"/>
      <c r="AA467" s="1"/>
      <c r="AH467" s="1"/>
      <c r="AO467" s="1"/>
    </row>
    <row r="468" ht="14.25" customHeight="1">
      <c r="B468" s="8"/>
      <c r="C468" s="8"/>
      <c r="D468" s="8"/>
      <c r="E468" s="8"/>
      <c r="F468" s="1"/>
      <c r="T468" s="74"/>
      <c r="AA468" s="1"/>
      <c r="AH468" s="1"/>
      <c r="AO468" s="1"/>
    </row>
    <row r="469" ht="14.25" customHeight="1">
      <c r="B469" s="8"/>
      <c r="C469" s="8"/>
      <c r="D469" s="8"/>
      <c r="E469" s="8"/>
      <c r="F469" s="1"/>
      <c r="T469" s="74"/>
      <c r="AA469" s="1"/>
      <c r="AH469" s="1"/>
      <c r="AO469" s="1"/>
    </row>
    <row r="470" ht="14.25" customHeight="1">
      <c r="B470" s="8"/>
      <c r="C470" s="8"/>
      <c r="D470" s="8"/>
      <c r="E470" s="8"/>
      <c r="F470" s="1"/>
      <c r="T470" s="74"/>
      <c r="AA470" s="1"/>
      <c r="AH470" s="1"/>
      <c r="AO470" s="1"/>
    </row>
    <row r="471" ht="14.25" customHeight="1">
      <c r="B471" s="8"/>
      <c r="C471" s="8"/>
      <c r="D471" s="8"/>
      <c r="E471" s="8"/>
      <c r="F471" s="1"/>
      <c r="T471" s="74"/>
      <c r="AA471" s="1"/>
      <c r="AH471" s="1"/>
      <c r="AO471" s="1"/>
    </row>
    <row r="472" ht="14.25" customHeight="1">
      <c r="B472" s="8"/>
      <c r="C472" s="8"/>
      <c r="D472" s="8"/>
      <c r="E472" s="8"/>
      <c r="F472" s="1"/>
      <c r="T472" s="74"/>
      <c r="AA472" s="1"/>
      <c r="AH472" s="1"/>
      <c r="AO472" s="1"/>
    </row>
    <row r="473" ht="14.25" customHeight="1">
      <c r="B473" s="8"/>
      <c r="C473" s="8"/>
      <c r="D473" s="8"/>
      <c r="E473" s="8"/>
      <c r="F473" s="1"/>
      <c r="T473" s="74"/>
      <c r="AA473" s="1"/>
      <c r="AH473" s="1"/>
      <c r="AO473" s="1"/>
    </row>
    <row r="474" ht="14.25" customHeight="1">
      <c r="B474" s="8"/>
      <c r="C474" s="8"/>
      <c r="D474" s="8"/>
      <c r="E474" s="8"/>
      <c r="F474" s="1"/>
      <c r="T474" s="74"/>
      <c r="AA474" s="1"/>
      <c r="AH474" s="1"/>
      <c r="AO474" s="1"/>
    </row>
    <row r="475" ht="14.25" customHeight="1">
      <c r="B475" s="8"/>
      <c r="C475" s="8"/>
      <c r="D475" s="8"/>
      <c r="E475" s="8"/>
      <c r="F475" s="1"/>
      <c r="T475" s="74"/>
      <c r="AA475" s="1"/>
      <c r="AH475" s="1"/>
      <c r="AO475" s="1"/>
    </row>
    <row r="476" ht="14.25" customHeight="1">
      <c r="B476" s="8"/>
      <c r="C476" s="8"/>
      <c r="D476" s="8"/>
      <c r="E476" s="8"/>
      <c r="F476" s="1"/>
      <c r="T476" s="74"/>
      <c r="AA476" s="1"/>
      <c r="AH476" s="1"/>
      <c r="AO476" s="1"/>
    </row>
    <row r="477" ht="14.25" customHeight="1">
      <c r="B477" s="8"/>
      <c r="C477" s="8"/>
      <c r="D477" s="8"/>
      <c r="E477" s="8"/>
      <c r="F477" s="1"/>
      <c r="T477" s="74"/>
      <c r="AA477" s="1"/>
      <c r="AH477" s="1"/>
      <c r="AO477" s="1"/>
    </row>
    <row r="478" ht="14.25" customHeight="1">
      <c r="B478" s="8"/>
      <c r="C478" s="8"/>
      <c r="D478" s="8"/>
      <c r="E478" s="8"/>
      <c r="F478" s="1"/>
      <c r="T478" s="74"/>
      <c r="AA478" s="1"/>
      <c r="AH478" s="1"/>
      <c r="AO478" s="1"/>
    </row>
    <row r="479" ht="14.25" customHeight="1">
      <c r="B479" s="8"/>
      <c r="C479" s="8"/>
      <c r="D479" s="8"/>
      <c r="E479" s="8"/>
      <c r="F479" s="1"/>
      <c r="T479" s="74"/>
      <c r="AA479" s="1"/>
      <c r="AH479" s="1"/>
      <c r="AO479" s="1"/>
    </row>
    <row r="480" ht="14.25" customHeight="1">
      <c r="B480" s="8"/>
      <c r="C480" s="8"/>
      <c r="D480" s="8"/>
      <c r="E480" s="8"/>
      <c r="F480" s="1"/>
      <c r="T480" s="74"/>
      <c r="AA480" s="1"/>
      <c r="AH480" s="1"/>
      <c r="AO480" s="1"/>
    </row>
    <row r="481" ht="14.25" customHeight="1">
      <c r="B481" s="8"/>
      <c r="C481" s="8"/>
      <c r="D481" s="8"/>
      <c r="E481" s="8"/>
      <c r="F481" s="1"/>
      <c r="T481" s="74"/>
      <c r="AA481" s="1"/>
      <c r="AH481" s="1"/>
      <c r="AO481" s="1"/>
    </row>
    <row r="482" ht="14.25" customHeight="1">
      <c r="B482" s="8"/>
      <c r="C482" s="8"/>
      <c r="D482" s="8"/>
      <c r="E482" s="8"/>
      <c r="F482" s="1"/>
      <c r="T482" s="74"/>
      <c r="AA482" s="1"/>
      <c r="AH482" s="1"/>
      <c r="AO482" s="1"/>
    </row>
    <row r="483" ht="14.25" customHeight="1">
      <c r="B483" s="8"/>
      <c r="C483" s="8"/>
      <c r="D483" s="8"/>
      <c r="E483" s="8"/>
      <c r="F483" s="1"/>
      <c r="T483" s="74"/>
      <c r="AA483" s="1"/>
      <c r="AH483" s="1"/>
      <c r="AO483" s="1"/>
    </row>
    <row r="484" ht="14.25" customHeight="1">
      <c r="B484" s="8"/>
      <c r="C484" s="8"/>
      <c r="D484" s="8"/>
      <c r="E484" s="8"/>
      <c r="F484" s="1"/>
      <c r="T484" s="74"/>
      <c r="AA484" s="1"/>
      <c r="AH484" s="1"/>
      <c r="AO484" s="1"/>
    </row>
    <row r="485" ht="14.25" customHeight="1">
      <c r="B485" s="8"/>
      <c r="C485" s="8"/>
      <c r="D485" s="8"/>
      <c r="E485" s="8"/>
      <c r="F485" s="1"/>
      <c r="T485" s="74"/>
      <c r="AA485" s="1"/>
      <c r="AH485" s="1"/>
      <c r="AO485" s="1"/>
    </row>
    <row r="486" ht="14.25" customHeight="1">
      <c r="B486" s="8"/>
      <c r="C486" s="8"/>
      <c r="D486" s="8"/>
      <c r="E486" s="8"/>
      <c r="F486" s="1"/>
      <c r="T486" s="74"/>
      <c r="AA486" s="1"/>
      <c r="AH486" s="1"/>
      <c r="AO486" s="1"/>
    </row>
    <row r="487" ht="14.25" customHeight="1">
      <c r="B487" s="8"/>
      <c r="C487" s="8"/>
      <c r="D487" s="8"/>
      <c r="E487" s="8"/>
      <c r="F487" s="1"/>
      <c r="T487" s="74"/>
      <c r="AA487" s="1"/>
      <c r="AH487" s="1"/>
      <c r="AO487" s="1"/>
    </row>
    <row r="488" ht="14.25" customHeight="1">
      <c r="B488" s="8"/>
      <c r="C488" s="8"/>
      <c r="D488" s="8"/>
      <c r="E488" s="8"/>
      <c r="F488" s="1"/>
      <c r="T488" s="74"/>
      <c r="AA488" s="1"/>
      <c r="AH488" s="1"/>
      <c r="AO488" s="1"/>
    </row>
    <row r="489" ht="14.25" customHeight="1">
      <c r="B489" s="8"/>
      <c r="C489" s="8"/>
      <c r="D489" s="8"/>
      <c r="E489" s="8"/>
      <c r="F489" s="1"/>
      <c r="T489" s="74"/>
      <c r="AA489" s="1"/>
      <c r="AH489" s="1"/>
      <c r="AO489" s="1"/>
    </row>
    <row r="490" ht="14.25" customHeight="1">
      <c r="B490" s="8"/>
      <c r="C490" s="8"/>
      <c r="D490" s="8"/>
      <c r="E490" s="8"/>
      <c r="F490" s="1"/>
      <c r="T490" s="74"/>
      <c r="AA490" s="1"/>
      <c r="AH490" s="1"/>
      <c r="AO490" s="1"/>
    </row>
    <row r="491" ht="14.25" customHeight="1">
      <c r="B491" s="8"/>
      <c r="C491" s="8"/>
      <c r="D491" s="8"/>
      <c r="E491" s="8"/>
      <c r="F491" s="1"/>
      <c r="T491" s="74"/>
      <c r="AA491" s="1"/>
      <c r="AH491" s="1"/>
      <c r="AO491" s="1"/>
    </row>
    <row r="492" ht="14.25" customHeight="1">
      <c r="B492" s="8"/>
      <c r="C492" s="8"/>
      <c r="D492" s="8"/>
      <c r="E492" s="8"/>
      <c r="F492" s="1"/>
      <c r="T492" s="74"/>
      <c r="AA492" s="1"/>
      <c r="AH492" s="1"/>
      <c r="AO492" s="1"/>
    </row>
    <row r="493" ht="14.25" customHeight="1">
      <c r="B493" s="8"/>
      <c r="C493" s="8"/>
      <c r="D493" s="8"/>
      <c r="E493" s="8"/>
      <c r="F493" s="1"/>
      <c r="T493" s="74"/>
      <c r="AA493" s="1"/>
      <c r="AH493" s="1"/>
      <c r="AO493" s="1"/>
    </row>
    <row r="494" ht="14.25" customHeight="1">
      <c r="B494" s="8"/>
      <c r="C494" s="8"/>
      <c r="D494" s="8"/>
      <c r="E494" s="8"/>
      <c r="F494" s="1"/>
      <c r="T494" s="74"/>
      <c r="AA494" s="1"/>
      <c r="AH494" s="1"/>
      <c r="AO494" s="1"/>
    </row>
    <row r="495" ht="14.25" customHeight="1">
      <c r="B495" s="8"/>
      <c r="C495" s="8"/>
      <c r="D495" s="8"/>
      <c r="E495" s="8"/>
      <c r="F495" s="1"/>
      <c r="T495" s="74"/>
      <c r="AA495" s="1"/>
      <c r="AH495" s="1"/>
      <c r="AO495" s="1"/>
    </row>
    <row r="496" ht="14.25" customHeight="1">
      <c r="B496" s="8"/>
      <c r="C496" s="8"/>
      <c r="D496" s="8"/>
      <c r="E496" s="8"/>
      <c r="F496" s="1"/>
      <c r="T496" s="74"/>
      <c r="AA496" s="1"/>
      <c r="AH496" s="1"/>
      <c r="AO496" s="1"/>
    </row>
    <row r="497" ht="14.25" customHeight="1">
      <c r="B497" s="8"/>
      <c r="C497" s="8"/>
      <c r="D497" s="8"/>
      <c r="E497" s="8"/>
      <c r="F497" s="1"/>
      <c r="T497" s="74"/>
      <c r="AA497" s="1"/>
      <c r="AH497" s="1"/>
      <c r="AO497" s="1"/>
    </row>
    <row r="498" ht="14.25" customHeight="1">
      <c r="B498" s="8"/>
      <c r="C498" s="8"/>
      <c r="D498" s="8"/>
      <c r="E498" s="8"/>
      <c r="F498" s="1"/>
      <c r="T498" s="74"/>
      <c r="AA498" s="1"/>
      <c r="AH498" s="1"/>
      <c r="AO498" s="1"/>
    </row>
    <row r="499" ht="14.25" customHeight="1">
      <c r="B499" s="8"/>
      <c r="C499" s="8"/>
      <c r="D499" s="8"/>
      <c r="E499" s="8"/>
      <c r="F499" s="1"/>
      <c r="T499" s="74"/>
      <c r="AA499" s="1"/>
      <c r="AH499" s="1"/>
      <c r="AO499" s="1"/>
    </row>
    <row r="500" ht="14.25" customHeight="1">
      <c r="B500" s="8"/>
      <c r="C500" s="8"/>
      <c r="D500" s="8"/>
      <c r="E500" s="8"/>
      <c r="F500" s="1"/>
      <c r="T500" s="74"/>
      <c r="AA500" s="1"/>
      <c r="AH500" s="1"/>
      <c r="AO500" s="1"/>
    </row>
    <row r="501" ht="14.25" customHeight="1">
      <c r="B501" s="8"/>
      <c r="C501" s="8"/>
      <c r="D501" s="8"/>
      <c r="E501" s="8"/>
      <c r="F501" s="1"/>
      <c r="T501" s="74"/>
      <c r="AA501" s="1"/>
      <c r="AH501" s="1"/>
      <c r="AO501" s="1"/>
    </row>
    <row r="502" ht="14.25" customHeight="1">
      <c r="B502" s="8"/>
      <c r="C502" s="8"/>
      <c r="D502" s="8"/>
      <c r="E502" s="8"/>
      <c r="F502" s="1"/>
      <c r="T502" s="74"/>
      <c r="AA502" s="1"/>
      <c r="AH502" s="1"/>
      <c r="AO502" s="1"/>
    </row>
    <row r="503" ht="14.25" customHeight="1">
      <c r="B503" s="8"/>
      <c r="C503" s="8"/>
      <c r="D503" s="8"/>
      <c r="E503" s="8"/>
      <c r="F503" s="1"/>
      <c r="T503" s="74"/>
      <c r="AA503" s="1"/>
      <c r="AH503" s="1"/>
      <c r="AO503" s="1"/>
    </row>
    <row r="504" ht="14.25" customHeight="1">
      <c r="B504" s="8"/>
      <c r="C504" s="8"/>
      <c r="D504" s="8"/>
      <c r="E504" s="8"/>
      <c r="F504" s="1"/>
      <c r="T504" s="74"/>
      <c r="AA504" s="1"/>
      <c r="AH504" s="1"/>
      <c r="AO504" s="1"/>
    </row>
    <row r="505" ht="14.25" customHeight="1">
      <c r="B505" s="8"/>
      <c r="C505" s="8"/>
      <c r="D505" s="8"/>
      <c r="E505" s="8"/>
      <c r="F505" s="1"/>
      <c r="T505" s="74"/>
      <c r="AA505" s="1"/>
      <c r="AH505" s="1"/>
      <c r="AO505" s="1"/>
    </row>
    <row r="506" ht="14.25" customHeight="1">
      <c r="B506" s="8"/>
      <c r="C506" s="8"/>
      <c r="D506" s="8"/>
      <c r="E506" s="8"/>
      <c r="F506" s="1"/>
      <c r="T506" s="74"/>
      <c r="AA506" s="1"/>
      <c r="AH506" s="1"/>
      <c r="AO506" s="1"/>
    </row>
    <row r="507" ht="14.25" customHeight="1">
      <c r="B507" s="8"/>
      <c r="C507" s="8"/>
      <c r="D507" s="8"/>
      <c r="E507" s="8"/>
      <c r="F507" s="1"/>
      <c r="T507" s="74"/>
      <c r="AA507" s="1"/>
      <c r="AH507" s="1"/>
      <c r="AO507" s="1"/>
    </row>
    <row r="508" ht="14.25" customHeight="1">
      <c r="B508" s="8"/>
      <c r="C508" s="8"/>
      <c r="D508" s="8"/>
      <c r="E508" s="8"/>
      <c r="F508" s="1"/>
      <c r="T508" s="74"/>
      <c r="AA508" s="1"/>
      <c r="AH508" s="1"/>
      <c r="AO508" s="1"/>
    </row>
    <row r="509" ht="14.25" customHeight="1">
      <c r="B509" s="8"/>
      <c r="C509" s="8"/>
      <c r="D509" s="8"/>
      <c r="E509" s="8"/>
      <c r="F509" s="1"/>
      <c r="T509" s="74"/>
      <c r="AA509" s="1"/>
      <c r="AH509" s="1"/>
      <c r="AO509" s="1"/>
    </row>
    <row r="510" ht="14.25" customHeight="1">
      <c r="B510" s="8"/>
      <c r="C510" s="8"/>
      <c r="D510" s="8"/>
      <c r="E510" s="8"/>
      <c r="F510" s="1"/>
      <c r="T510" s="74"/>
      <c r="AA510" s="1"/>
      <c r="AH510" s="1"/>
      <c r="AO510" s="1"/>
    </row>
    <row r="511" ht="14.25" customHeight="1">
      <c r="B511" s="8"/>
      <c r="C511" s="8"/>
      <c r="D511" s="8"/>
      <c r="E511" s="8"/>
      <c r="F511" s="1"/>
      <c r="T511" s="74"/>
      <c r="AA511" s="1"/>
      <c r="AH511" s="1"/>
      <c r="AO511" s="1"/>
    </row>
    <row r="512" ht="14.25" customHeight="1">
      <c r="B512" s="8"/>
      <c r="C512" s="8"/>
      <c r="D512" s="8"/>
      <c r="E512" s="8"/>
      <c r="F512" s="1"/>
      <c r="T512" s="74"/>
      <c r="AA512" s="1"/>
      <c r="AH512" s="1"/>
      <c r="AO512" s="1"/>
    </row>
    <row r="513" ht="14.25" customHeight="1">
      <c r="B513" s="8"/>
      <c r="C513" s="8"/>
      <c r="D513" s="8"/>
      <c r="E513" s="8"/>
      <c r="F513" s="1"/>
      <c r="T513" s="74"/>
      <c r="AA513" s="1"/>
      <c r="AH513" s="1"/>
      <c r="AO513" s="1"/>
    </row>
    <row r="514" ht="14.25" customHeight="1">
      <c r="B514" s="8"/>
      <c r="C514" s="8"/>
      <c r="D514" s="8"/>
      <c r="E514" s="8"/>
      <c r="F514" s="1"/>
      <c r="T514" s="74"/>
      <c r="AA514" s="1"/>
      <c r="AH514" s="1"/>
      <c r="AO514" s="1"/>
    </row>
    <row r="515" ht="14.25" customHeight="1">
      <c r="B515" s="8"/>
      <c r="C515" s="8"/>
      <c r="D515" s="8"/>
      <c r="E515" s="8"/>
      <c r="F515" s="1"/>
      <c r="T515" s="74"/>
      <c r="AA515" s="1"/>
      <c r="AH515" s="1"/>
      <c r="AO515" s="1"/>
    </row>
    <row r="516" ht="14.25" customHeight="1">
      <c r="B516" s="8"/>
      <c r="C516" s="8"/>
      <c r="D516" s="8"/>
      <c r="E516" s="8"/>
      <c r="F516" s="1"/>
      <c r="T516" s="74"/>
      <c r="AA516" s="1"/>
      <c r="AH516" s="1"/>
      <c r="AO516" s="1"/>
    </row>
    <row r="517" ht="14.25" customHeight="1">
      <c r="B517" s="8"/>
      <c r="C517" s="8"/>
      <c r="D517" s="8"/>
      <c r="E517" s="8"/>
      <c r="F517" s="1"/>
      <c r="T517" s="74"/>
      <c r="AA517" s="1"/>
      <c r="AH517" s="1"/>
      <c r="AO517" s="1"/>
    </row>
    <row r="518" ht="14.25" customHeight="1">
      <c r="B518" s="8"/>
      <c r="C518" s="8"/>
      <c r="D518" s="8"/>
      <c r="E518" s="8"/>
      <c r="F518" s="1"/>
      <c r="T518" s="74"/>
      <c r="AA518" s="1"/>
      <c r="AH518" s="1"/>
      <c r="AO518" s="1"/>
    </row>
    <row r="519" ht="14.25" customHeight="1">
      <c r="B519" s="8"/>
      <c r="C519" s="8"/>
      <c r="D519" s="8"/>
      <c r="E519" s="8"/>
      <c r="F519" s="1"/>
      <c r="T519" s="74"/>
      <c r="AA519" s="1"/>
      <c r="AH519" s="1"/>
      <c r="AO519" s="1"/>
    </row>
    <row r="520" ht="14.25" customHeight="1">
      <c r="B520" s="8"/>
      <c r="C520" s="8"/>
      <c r="D520" s="8"/>
      <c r="E520" s="8"/>
      <c r="F520" s="1"/>
      <c r="T520" s="74"/>
      <c r="AA520" s="1"/>
      <c r="AH520" s="1"/>
      <c r="AO520" s="1"/>
    </row>
    <row r="521" ht="14.25" customHeight="1">
      <c r="B521" s="8"/>
      <c r="C521" s="8"/>
      <c r="D521" s="8"/>
      <c r="E521" s="8"/>
      <c r="F521" s="1"/>
      <c r="T521" s="74"/>
      <c r="AA521" s="1"/>
      <c r="AH521" s="1"/>
      <c r="AO521" s="1"/>
    </row>
    <row r="522" ht="14.25" customHeight="1">
      <c r="B522" s="8"/>
      <c r="C522" s="8"/>
      <c r="D522" s="8"/>
      <c r="E522" s="8"/>
      <c r="F522" s="1"/>
      <c r="T522" s="74"/>
      <c r="AA522" s="1"/>
      <c r="AH522" s="1"/>
      <c r="AO522" s="1"/>
    </row>
    <row r="523" ht="14.25" customHeight="1">
      <c r="B523" s="8"/>
      <c r="C523" s="8"/>
      <c r="D523" s="8"/>
      <c r="E523" s="8"/>
      <c r="F523" s="1"/>
      <c r="T523" s="74"/>
      <c r="AA523" s="1"/>
      <c r="AH523" s="1"/>
      <c r="AO523" s="1"/>
    </row>
    <row r="524" ht="14.25" customHeight="1">
      <c r="B524" s="8"/>
      <c r="C524" s="8"/>
      <c r="D524" s="8"/>
      <c r="E524" s="8"/>
      <c r="F524" s="1"/>
      <c r="T524" s="74"/>
      <c r="AA524" s="1"/>
      <c r="AH524" s="1"/>
      <c r="AO524" s="1"/>
    </row>
    <row r="525" ht="14.25" customHeight="1">
      <c r="B525" s="8"/>
      <c r="C525" s="8"/>
      <c r="D525" s="8"/>
      <c r="E525" s="8"/>
      <c r="F525" s="1"/>
      <c r="T525" s="74"/>
      <c r="AA525" s="1"/>
      <c r="AH525" s="1"/>
      <c r="AO525" s="1"/>
    </row>
    <row r="526" ht="14.25" customHeight="1">
      <c r="B526" s="8"/>
      <c r="C526" s="8"/>
      <c r="D526" s="8"/>
      <c r="E526" s="8"/>
      <c r="F526" s="1"/>
      <c r="T526" s="74"/>
      <c r="AA526" s="1"/>
      <c r="AH526" s="1"/>
      <c r="AO526" s="1"/>
    </row>
    <row r="527" ht="14.25" customHeight="1">
      <c r="B527" s="8"/>
      <c r="C527" s="8"/>
      <c r="D527" s="8"/>
      <c r="E527" s="8"/>
      <c r="F527" s="1"/>
      <c r="T527" s="74"/>
      <c r="AA527" s="1"/>
      <c r="AH527" s="1"/>
      <c r="AO527" s="1"/>
    </row>
    <row r="528" ht="14.25" customHeight="1">
      <c r="B528" s="8"/>
      <c r="C528" s="8"/>
      <c r="D528" s="8"/>
      <c r="E528" s="8"/>
      <c r="F528" s="1"/>
      <c r="T528" s="74"/>
      <c r="AA528" s="1"/>
      <c r="AH528" s="1"/>
      <c r="AO528" s="1"/>
    </row>
    <row r="529" ht="14.25" customHeight="1">
      <c r="B529" s="8"/>
      <c r="C529" s="8"/>
      <c r="D529" s="8"/>
      <c r="E529" s="8"/>
      <c r="F529" s="1"/>
      <c r="T529" s="74"/>
      <c r="AA529" s="1"/>
      <c r="AH529" s="1"/>
      <c r="AO529" s="1"/>
    </row>
    <row r="530" ht="14.25" customHeight="1">
      <c r="B530" s="8"/>
      <c r="C530" s="8"/>
      <c r="D530" s="8"/>
      <c r="E530" s="8"/>
      <c r="F530" s="1"/>
      <c r="T530" s="74"/>
      <c r="AA530" s="1"/>
      <c r="AH530" s="1"/>
      <c r="AO530" s="1"/>
    </row>
    <row r="531" ht="14.25" customHeight="1">
      <c r="B531" s="8"/>
      <c r="C531" s="8"/>
      <c r="D531" s="8"/>
      <c r="E531" s="8"/>
      <c r="F531" s="1"/>
      <c r="T531" s="74"/>
      <c r="AA531" s="1"/>
      <c r="AH531" s="1"/>
      <c r="AO531" s="1"/>
    </row>
    <row r="532" ht="14.25" customHeight="1">
      <c r="B532" s="8"/>
      <c r="C532" s="8"/>
      <c r="D532" s="8"/>
      <c r="E532" s="8"/>
      <c r="F532" s="1"/>
      <c r="T532" s="74"/>
      <c r="AA532" s="1"/>
      <c r="AH532" s="1"/>
      <c r="AO532" s="1"/>
    </row>
    <row r="533" ht="14.25" customHeight="1">
      <c r="B533" s="8"/>
      <c r="C533" s="8"/>
      <c r="D533" s="8"/>
      <c r="E533" s="8"/>
      <c r="F533" s="1"/>
      <c r="T533" s="74"/>
      <c r="AA533" s="1"/>
      <c r="AH533" s="1"/>
      <c r="AO533" s="1"/>
    </row>
    <row r="534" ht="14.25" customHeight="1">
      <c r="B534" s="8"/>
      <c r="C534" s="8"/>
      <c r="D534" s="8"/>
      <c r="E534" s="8"/>
      <c r="F534" s="1"/>
      <c r="T534" s="74"/>
      <c r="AA534" s="1"/>
      <c r="AH534" s="1"/>
      <c r="AO534" s="1"/>
    </row>
    <row r="535" ht="14.25" customHeight="1">
      <c r="B535" s="8"/>
      <c r="C535" s="8"/>
      <c r="D535" s="8"/>
      <c r="E535" s="8"/>
      <c r="F535" s="1"/>
      <c r="T535" s="74"/>
      <c r="AA535" s="1"/>
      <c r="AH535" s="1"/>
      <c r="AO535" s="1"/>
    </row>
    <row r="536" ht="14.25" customHeight="1">
      <c r="B536" s="8"/>
      <c r="C536" s="8"/>
      <c r="D536" s="8"/>
      <c r="E536" s="8"/>
      <c r="F536" s="1"/>
      <c r="T536" s="74"/>
      <c r="AA536" s="1"/>
      <c r="AH536" s="1"/>
      <c r="AO536" s="1"/>
    </row>
    <row r="537" ht="14.25" customHeight="1">
      <c r="B537" s="8"/>
      <c r="C537" s="8"/>
      <c r="D537" s="8"/>
      <c r="E537" s="8"/>
      <c r="F537" s="1"/>
      <c r="T537" s="74"/>
      <c r="AA537" s="1"/>
      <c r="AH537" s="1"/>
      <c r="AO537" s="1"/>
    </row>
    <row r="538" ht="14.25" customHeight="1">
      <c r="B538" s="8"/>
      <c r="C538" s="8"/>
      <c r="D538" s="8"/>
      <c r="E538" s="8"/>
      <c r="F538" s="1"/>
      <c r="T538" s="74"/>
      <c r="AA538" s="1"/>
      <c r="AH538" s="1"/>
      <c r="AO538" s="1"/>
    </row>
    <row r="539" ht="14.25" customHeight="1">
      <c r="B539" s="8"/>
      <c r="C539" s="8"/>
      <c r="D539" s="8"/>
      <c r="E539" s="8"/>
      <c r="F539" s="1"/>
      <c r="T539" s="74"/>
      <c r="AA539" s="1"/>
      <c r="AH539" s="1"/>
      <c r="AO539" s="1"/>
    </row>
    <row r="540" ht="14.25" customHeight="1">
      <c r="B540" s="8"/>
      <c r="C540" s="8"/>
      <c r="D540" s="8"/>
      <c r="E540" s="8"/>
      <c r="F540" s="1"/>
      <c r="T540" s="74"/>
      <c r="AA540" s="1"/>
      <c r="AH540" s="1"/>
      <c r="AO540" s="1"/>
    </row>
    <row r="541" ht="14.25" customHeight="1">
      <c r="B541" s="8"/>
      <c r="C541" s="8"/>
      <c r="D541" s="8"/>
      <c r="E541" s="8"/>
      <c r="F541" s="1"/>
      <c r="T541" s="74"/>
      <c r="AA541" s="1"/>
      <c r="AH541" s="1"/>
      <c r="AO541" s="1"/>
    </row>
    <row r="542" ht="14.25" customHeight="1">
      <c r="B542" s="8"/>
      <c r="C542" s="8"/>
      <c r="D542" s="8"/>
      <c r="E542" s="8"/>
      <c r="F542" s="1"/>
      <c r="T542" s="74"/>
      <c r="AA542" s="1"/>
      <c r="AH542" s="1"/>
      <c r="AO542" s="1"/>
    </row>
    <row r="543" ht="14.25" customHeight="1">
      <c r="B543" s="8"/>
      <c r="C543" s="8"/>
      <c r="D543" s="8"/>
      <c r="E543" s="8"/>
      <c r="F543" s="1"/>
      <c r="T543" s="74"/>
      <c r="AA543" s="1"/>
      <c r="AH543" s="1"/>
      <c r="AO543" s="1"/>
    </row>
    <row r="544" ht="14.25" customHeight="1">
      <c r="B544" s="8"/>
      <c r="C544" s="8"/>
      <c r="D544" s="8"/>
      <c r="E544" s="8"/>
      <c r="F544" s="1"/>
      <c r="T544" s="74"/>
      <c r="AA544" s="1"/>
      <c r="AH544" s="1"/>
      <c r="AO544" s="1"/>
    </row>
    <row r="545" ht="14.25" customHeight="1">
      <c r="B545" s="8"/>
      <c r="C545" s="8"/>
      <c r="D545" s="8"/>
      <c r="E545" s="8"/>
      <c r="F545" s="1"/>
      <c r="T545" s="74"/>
      <c r="AA545" s="1"/>
      <c r="AH545" s="1"/>
      <c r="AO545" s="1"/>
    </row>
    <row r="546" ht="14.25" customHeight="1">
      <c r="B546" s="8"/>
      <c r="C546" s="8"/>
      <c r="D546" s="8"/>
      <c r="E546" s="8"/>
      <c r="F546" s="1"/>
      <c r="T546" s="74"/>
      <c r="AA546" s="1"/>
      <c r="AH546" s="1"/>
      <c r="AO546" s="1"/>
    </row>
    <row r="547" ht="14.25" customHeight="1">
      <c r="B547" s="8"/>
      <c r="C547" s="8"/>
      <c r="D547" s="8"/>
      <c r="E547" s="8"/>
      <c r="F547" s="1"/>
      <c r="T547" s="74"/>
      <c r="AA547" s="1"/>
      <c r="AH547" s="1"/>
      <c r="AO547" s="1"/>
    </row>
    <row r="548" ht="14.25" customHeight="1">
      <c r="B548" s="8"/>
      <c r="C548" s="8"/>
      <c r="D548" s="8"/>
      <c r="E548" s="8"/>
      <c r="F548" s="1"/>
      <c r="T548" s="74"/>
      <c r="AA548" s="1"/>
      <c r="AH548" s="1"/>
      <c r="AO548" s="1"/>
    </row>
    <row r="549" ht="14.25" customHeight="1">
      <c r="B549" s="8"/>
      <c r="C549" s="8"/>
      <c r="D549" s="8"/>
      <c r="E549" s="8"/>
      <c r="F549" s="1"/>
      <c r="T549" s="74"/>
      <c r="AA549" s="1"/>
      <c r="AH549" s="1"/>
      <c r="AO549" s="1"/>
    </row>
    <row r="550" ht="14.25" customHeight="1">
      <c r="B550" s="8"/>
      <c r="C550" s="8"/>
      <c r="D550" s="8"/>
      <c r="E550" s="8"/>
      <c r="F550" s="1"/>
      <c r="T550" s="74"/>
      <c r="AA550" s="1"/>
      <c r="AH550" s="1"/>
      <c r="AO550" s="1"/>
    </row>
    <row r="551" ht="14.25" customHeight="1">
      <c r="B551" s="8"/>
      <c r="C551" s="8"/>
      <c r="D551" s="8"/>
      <c r="E551" s="8"/>
      <c r="F551" s="1"/>
      <c r="T551" s="74"/>
      <c r="AA551" s="1"/>
      <c r="AH551" s="1"/>
      <c r="AO551" s="1"/>
    </row>
    <row r="552" ht="14.25" customHeight="1">
      <c r="B552" s="8"/>
      <c r="C552" s="8"/>
      <c r="D552" s="8"/>
      <c r="E552" s="8"/>
      <c r="F552" s="1"/>
      <c r="T552" s="74"/>
      <c r="AA552" s="1"/>
      <c r="AH552" s="1"/>
      <c r="AO552" s="1"/>
    </row>
    <row r="553" ht="14.25" customHeight="1">
      <c r="B553" s="8"/>
      <c r="C553" s="8"/>
      <c r="D553" s="8"/>
      <c r="E553" s="8"/>
      <c r="F553" s="1"/>
      <c r="T553" s="74"/>
      <c r="AA553" s="1"/>
      <c r="AH553" s="1"/>
      <c r="AO553" s="1"/>
    </row>
    <row r="554" ht="14.25" customHeight="1">
      <c r="B554" s="8"/>
      <c r="C554" s="8"/>
      <c r="D554" s="8"/>
      <c r="E554" s="8"/>
      <c r="F554" s="1"/>
      <c r="T554" s="74"/>
      <c r="AA554" s="1"/>
      <c r="AH554" s="1"/>
      <c r="AO554" s="1"/>
    </row>
    <row r="555" ht="14.25" customHeight="1">
      <c r="B555" s="8"/>
      <c r="C555" s="8"/>
      <c r="D555" s="8"/>
      <c r="E555" s="8"/>
      <c r="F555" s="1"/>
      <c r="T555" s="74"/>
      <c r="AA555" s="1"/>
      <c r="AH555" s="1"/>
      <c r="AO555" s="1"/>
    </row>
    <row r="556" ht="14.25" customHeight="1">
      <c r="B556" s="8"/>
      <c r="C556" s="8"/>
      <c r="D556" s="8"/>
      <c r="E556" s="8"/>
      <c r="F556" s="1"/>
      <c r="T556" s="74"/>
      <c r="AA556" s="1"/>
      <c r="AH556" s="1"/>
      <c r="AO556" s="1"/>
    </row>
    <row r="557" ht="14.25" customHeight="1">
      <c r="B557" s="8"/>
      <c r="C557" s="8"/>
      <c r="D557" s="8"/>
      <c r="E557" s="8"/>
      <c r="F557" s="1"/>
      <c r="T557" s="74"/>
      <c r="AA557" s="1"/>
      <c r="AH557" s="1"/>
      <c r="AO557" s="1"/>
    </row>
    <row r="558" ht="14.25" customHeight="1">
      <c r="B558" s="8"/>
      <c r="C558" s="8"/>
      <c r="D558" s="8"/>
      <c r="E558" s="8"/>
      <c r="F558" s="1"/>
      <c r="T558" s="74"/>
      <c r="AA558" s="1"/>
      <c r="AH558" s="1"/>
      <c r="AO558" s="1"/>
    </row>
    <row r="559" ht="14.25" customHeight="1">
      <c r="B559" s="8"/>
      <c r="C559" s="8"/>
      <c r="D559" s="8"/>
      <c r="E559" s="8"/>
      <c r="F559" s="1"/>
      <c r="T559" s="74"/>
      <c r="AA559" s="1"/>
      <c r="AH559" s="1"/>
      <c r="AO559" s="1"/>
    </row>
    <row r="560" ht="14.25" customHeight="1">
      <c r="B560" s="8"/>
      <c r="C560" s="8"/>
      <c r="D560" s="8"/>
      <c r="E560" s="8"/>
      <c r="F560" s="1"/>
      <c r="T560" s="74"/>
      <c r="AA560" s="1"/>
      <c r="AH560" s="1"/>
      <c r="AO560" s="1"/>
    </row>
    <row r="561" ht="14.25" customHeight="1">
      <c r="B561" s="8"/>
      <c r="C561" s="8"/>
      <c r="D561" s="8"/>
      <c r="E561" s="8"/>
      <c r="F561" s="1"/>
      <c r="T561" s="74"/>
      <c r="AA561" s="1"/>
      <c r="AH561" s="1"/>
      <c r="AO561" s="1"/>
    </row>
    <row r="562" ht="14.25" customHeight="1">
      <c r="B562" s="8"/>
      <c r="C562" s="8"/>
      <c r="D562" s="8"/>
      <c r="E562" s="8"/>
      <c r="F562" s="1"/>
      <c r="T562" s="74"/>
      <c r="AA562" s="1"/>
      <c r="AH562" s="1"/>
      <c r="AO562" s="1"/>
    </row>
    <row r="563" ht="14.25" customHeight="1">
      <c r="B563" s="8"/>
      <c r="C563" s="8"/>
      <c r="D563" s="8"/>
      <c r="E563" s="8"/>
      <c r="F563" s="1"/>
      <c r="T563" s="74"/>
      <c r="AA563" s="1"/>
      <c r="AH563" s="1"/>
      <c r="AO563" s="1"/>
    </row>
    <row r="564" ht="14.25" customHeight="1">
      <c r="B564" s="8"/>
      <c r="C564" s="8"/>
      <c r="D564" s="8"/>
      <c r="E564" s="8"/>
      <c r="F564" s="1"/>
      <c r="T564" s="74"/>
      <c r="AA564" s="1"/>
      <c r="AH564" s="1"/>
      <c r="AO564" s="1"/>
    </row>
    <row r="565" ht="14.25" customHeight="1">
      <c r="B565" s="8"/>
      <c r="C565" s="8"/>
      <c r="D565" s="8"/>
      <c r="E565" s="8"/>
      <c r="F565" s="1"/>
      <c r="T565" s="74"/>
      <c r="AA565" s="1"/>
      <c r="AH565" s="1"/>
      <c r="AO565" s="1"/>
    </row>
    <row r="566" ht="14.25" customHeight="1">
      <c r="B566" s="8"/>
      <c r="C566" s="8"/>
      <c r="D566" s="8"/>
      <c r="E566" s="8"/>
      <c r="F566" s="1"/>
      <c r="T566" s="74"/>
      <c r="AA566" s="1"/>
      <c r="AH566" s="1"/>
      <c r="AO566" s="1"/>
    </row>
    <row r="567" ht="14.25" customHeight="1">
      <c r="B567" s="8"/>
      <c r="C567" s="8"/>
      <c r="D567" s="8"/>
      <c r="E567" s="8"/>
      <c r="F567" s="1"/>
      <c r="T567" s="74"/>
      <c r="AA567" s="1"/>
      <c r="AH567" s="1"/>
      <c r="AO567" s="1"/>
    </row>
    <row r="568" ht="14.25" customHeight="1">
      <c r="B568" s="8"/>
      <c r="C568" s="8"/>
      <c r="D568" s="8"/>
      <c r="E568" s="8"/>
      <c r="F568" s="1"/>
      <c r="T568" s="74"/>
      <c r="AA568" s="1"/>
      <c r="AH568" s="1"/>
      <c r="AO568" s="1"/>
    </row>
    <row r="569" ht="14.25" customHeight="1">
      <c r="B569" s="8"/>
      <c r="C569" s="8"/>
      <c r="D569" s="8"/>
      <c r="E569" s="8"/>
      <c r="F569" s="1"/>
      <c r="T569" s="74"/>
      <c r="AA569" s="1"/>
      <c r="AH569" s="1"/>
      <c r="AO569" s="1"/>
    </row>
    <row r="570" ht="14.25" customHeight="1">
      <c r="B570" s="8"/>
      <c r="C570" s="8"/>
      <c r="D570" s="8"/>
      <c r="E570" s="8"/>
      <c r="F570" s="1"/>
      <c r="T570" s="74"/>
      <c r="AA570" s="1"/>
      <c r="AH570" s="1"/>
      <c r="AO570" s="1"/>
    </row>
    <row r="571" ht="14.25" customHeight="1">
      <c r="B571" s="8"/>
      <c r="C571" s="8"/>
      <c r="D571" s="8"/>
      <c r="E571" s="8"/>
      <c r="F571" s="1"/>
      <c r="T571" s="74"/>
      <c r="AA571" s="1"/>
      <c r="AH571" s="1"/>
      <c r="AO571" s="1"/>
    </row>
    <row r="572" ht="14.25" customHeight="1">
      <c r="B572" s="8"/>
      <c r="C572" s="8"/>
      <c r="D572" s="8"/>
      <c r="E572" s="8"/>
      <c r="F572" s="1"/>
      <c r="T572" s="74"/>
      <c r="AA572" s="1"/>
      <c r="AH572" s="1"/>
      <c r="AO572" s="1"/>
    </row>
    <row r="573" ht="14.25" customHeight="1">
      <c r="B573" s="8"/>
      <c r="C573" s="8"/>
      <c r="D573" s="8"/>
      <c r="E573" s="8"/>
      <c r="F573" s="1"/>
      <c r="T573" s="74"/>
      <c r="AA573" s="1"/>
      <c r="AH573" s="1"/>
      <c r="AO573" s="1"/>
    </row>
    <row r="574" ht="14.25" customHeight="1">
      <c r="B574" s="8"/>
      <c r="C574" s="8"/>
      <c r="D574" s="8"/>
      <c r="E574" s="8"/>
      <c r="F574" s="1"/>
      <c r="T574" s="74"/>
      <c r="AA574" s="1"/>
      <c r="AH574" s="1"/>
      <c r="AO574" s="1"/>
    </row>
    <row r="575" ht="14.25" customHeight="1">
      <c r="B575" s="8"/>
      <c r="C575" s="8"/>
      <c r="D575" s="8"/>
      <c r="E575" s="8"/>
      <c r="F575" s="1"/>
      <c r="T575" s="74"/>
      <c r="AA575" s="1"/>
      <c r="AH575" s="1"/>
      <c r="AO575" s="1"/>
    </row>
    <row r="576" ht="14.25" customHeight="1">
      <c r="B576" s="8"/>
      <c r="C576" s="8"/>
      <c r="D576" s="8"/>
      <c r="E576" s="8"/>
      <c r="F576" s="1"/>
      <c r="T576" s="74"/>
      <c r="AA576" s="1"/>
      <c r="AH576" s="1"/>
      <c r="AO576" s="1"/>
    </row>
    <row r="577" ht="14.25" customHeight="1">
      <c r="B577" s="8"/>
      <c r="C577" s="8"/>
      <c r="D577" s="8"/>
      <c r="E577" s="8"/>
      <c r="F577" s="1"/>
      <c r="T577" s="74"/>
      <c r="AA577" s="1"/>
      <c r="AH577" s="1"/>
      <c r="AO577" s="1"/>
    </row>
    <row r="578" ht="14.25" customHeight="1">
      <c r="B578" s="8"/>
      <c r="C578" s="8"/>
      <c r="D578" s="8"/>
      <c r="E578" s="8"/>
      <c r="F578" s="1"/>
      <c r="T578" s="74"/>
      <c r="AA578" s="1"/>
      <c r="AH578" s="1"/>
      <c r="AO578" s="1"/>
    </row>
    <row r="579" ht="14.25" customHeight="1">
      <c r="B579" s="8"/>
      <c r="C579" s="8"/>
      <c r="D579" s="8"/>
      <c r="E579" s="8"/>
      <c r="F579" s="1"/>
      <c r="T579" s="74"/>
      <c r="AA579" s="1"/>
      <c r="AH579" s="1"/>
      <c r="AO579" s="1"/>
    </row>
    <row r="580" ht="14.25" customHeight="1">
      <c r="B580" s="8"/>
      <c r="C580" s="8"/>
      <c r="D580" s="8"/>
      <c r="E580" s="8"/>
      <c r="F580" s="1"/>
      <c r="T580" s="74"/>
      <c r="AA580" s="1"/>
      <c r="AH580" s="1"/>
      <c r="AO580" s="1"/>
    </row>
    <row r="581" ht="14.25" customHeight="1">
      <c r="B581" s="8"/>
      <c r="C581" s="8"/>
      <c r="D581" s="8"/>
      <c r="E581" s="8"/>
      <c r="F581" s="1"/>
      <c r="T581" s="74"/>
      <c r="AA581" s="1"/>
      <c r="AH581" s="1"/>
      <c r="AO581" s="1"/>
    </row>
    <row r="582" ht="14.25" customHeight="1">
      <c r="B582" s="8"/>
      <c r="C582" s="8"/>
      <c r="D582" s="8"/>
      <c r="E582" s="8"/>
      <c r="F582" s="1"/>
      <c r="T582" s="74"/>
      <c r="AA582" s="1"/>
      <c r="AH582" s="1"/>
      <c r="AO582" s="1"/>
    </row>
    <row r="583" ht="14.25" customHeight="1">
      <c r="B583" s="8"/>
      <c r="C583" s="8"/>
      <c r="D583" s="8"/>
      <c r="E583" s="8"/>
      <c r="F583" s="1"/>
      <c r="T583" s="74"/>
      <c r="AA583" s="1"/>
      <c r="AH583" s="1"/>
      <c r="AO583" s="1"/>
    </row>
    <row r="584" ht="14.25" customHeight="1">
      <c r="B584" s="8"/>
      <c r="C584" s="8"/>
      <c r="D584" s="8"/>
      <c r="E584" s="8"/>
      <c r="F584" s="1"/>
      <c r="T584" s="74"/>
      <c r="AA584" s="1"/>
      <c r="AH584" s="1"/>
      <c r="AO584" s="1"/>
    </row>
    <row r="585" ht="14.25" customHeight="1">
      <c r="B585" s="8"/>
      <c r="C585" s="8"/>
      <c r="D585" s="8"/>
      <c r="E585" s="8"/>
      <c r="F585" s="1"/>
      <c r="T585" s="74"/>
      <c r="AA585" s="1"/>
      <c r="AH585" s="1"/>
      <c r="AO585" s="1"/>
    </row>
    <row r="586" ht="14.25" customHeight="1">
      <c r="B586" s="8"/>
      <c r="C586" s="8"/>
      <c r="D586" s="8"/>
      <c r="E586" s="8"/>
      <c r="F586" s="1"/>
      <c r="T586" s="74"/>
      <c r="AA586" s="1"/>
      <c r="AH586" s="1"/>
      <c r="AO586" s="1"/>
    </row>
    <row r="587" ht="14.25" customHeight="1">
      <c r="B587" s="8"/>
      <c r="C587" s="8"/>
      <c r="D587" s="8"/>
      <c r="E587" s="8"/>
      <c r="F587" s="1"/>
      <c r="T587" s="74"/>
      <c r="AA587" s="1"/>
      <c r="AH587" s="1"/>
      <c r="AO587" s="1"/>
    </row>
    <row r="588" ht="14.25" customHeight="1">
      <c r="B588" s="8"/>
      <c r="C588" s="8"/>
      <c r="D588" s="8"/>
      <c r="E588" s="8"/>
      <c r="F588" s="1"/>
      <c r="T588" s="74"/>
      <c r="AA588" s="1"/>
      <c r="AH588" s="1"/>
      <c r="AO588" s="1"/>
    </row>
    <row r="589" ht="14.25" customHeight="1">
      <c r="B589" s="8"/>
      <c r="C589" s="8"/>
      <c r="D589" s="8"/>
      <c r="E589" s="8"/>
      <c r="F589" s="1"/>
      <c r="T589" s="74"/>
      <c r="AA589" s="1"/>
      <c r="AH589" s="1"/>
      <c r="AO589" s="1"/>
    </row>
    <row r="590" ht="14.25" customHeight="1">
      <c r="B590" s="8"/>
      <c r="C590" s="8"/>
      <c r="D590" s="8"/>
      <c r="E590" s="8"/>
      <c r="F590" s="1"/>
      <c r="T590" s="74"/>
      <c r="AA590" s="1"/>
      <c r="AH590" s="1"/>
      <c r="AO590" s="1"/>
    </row>
    <row r="591" ht="14.25" customHeight="1">
      <c r="B591" s="8"/>
      <c r="C591" s="8"/>
      <c r="D591" s="8"/>
      <c r="E591" s="8"/>
      <c r="F591" s="1"/>
      <c r="T591" s="74"/>
      <c r="AA591" s="1"/>
      <c r="AH591" s="1"/>
      <c r="AO591" s="1"/>
    </row>
    <row r="592" ht="14.25" customHeight="1">
      <c r="B592" s="8"/>
      <c r="C592" s="8"/>
      <c r="D592" s="8"/>
      <c r="E592" s="8"/>
      <c r="F592" s="1"/>
      <c r="T592" s="74"/>
      <c r="AA592" s="1"/>
      <c r="AH592" s="1"/>
      <c r="AO592" s="1"/>
    </row>
    <row r="593" ht="14.25" customHeight="1">
      <c r="B593" s="8"/>
      <c r="C593" s="8"/>
      <c r="D593" s="8"/>
      <c r="E593" s="8"/>
      <c r="F593" s="1"/>
      <c r="T593" s="74"/>
      <c r="AA593" s="1"/>
      <c r="AH593" s="1"/>
      <c r="AO593" s="1"/>
    </row>
    <row r="594" ht="14.25" customHeight="1">
      <c r="B594" s="8"/>
      <c r="C594" s="8"/>
      <c r="D594" s="8"/>
      <c r="E594" s="8"/>
      <c r="F594" s="1"/>
      <c r="T594" s="74"/>
      <c r="AA594" s="1"/>
      <c r="AH594" s="1"/>
      <c r="AO594" s="1"/>
    </row>
    <row r="595" ht="14.25" customHeight="1">
      <c r="B595" s="8"/>
      <c r="C595" s="8"/>
      <c r="D595" s="8"/>
      <c r="E595" s="8"/>
      <c r="F595" s="1"/>
      <c r="T595" s="74"/>
      <c r="AA595" s="1"/>
      <c r="AH595" s="1"/>
      <c r="AO595" s="1"/>
    </row>
    <row r="596" ht="14.25" customHeight="1">
      <c r="B596" s="8"/>
      <c r="C596" s="8"/>
      <c r="D596" s="8"/>
      <c r="E596" s="8"/>
      <c r="F596" s="1"/>
      <c r="T596" s="74"/>
      <c r="AA596" s="1"/>
      <c r="AH596" s="1"/>
      <c r="AO596" s="1"/>
    </row>
    <row r="597" ht="14.25" customHeight="1">
      <c r="B597" s="8"/>
      <c r="C597" s="8"/>
      <c r="D597" s="8"/>
      <c r="E597" s="8"/>
      <c r="F597" s="1"/>
      <c r="T597" s="74"/>
      <c r="AA597" s="1"/>
      <c r="AH597" s="1"/>
      <c r="AO597" s="1"/>
    </row>
    <row r="598" ht="14.25" customHeight="1">
      <c r="B598" s="8"/>
      <c r="C598" s="8"/>
      <c r="D598" s="8"/>
      <c r="E598" s="8"/>
      <c r="F598" s="1"/>
      <c r="T598" s="74"/>
      <c r="AA598" s="1"/>
      <c r="AH598" s="1"/>
      <c r="AO598" s="1"/>
    </row>
    <row r="599" ht="14.25" customHeight="1">
      <c r="B599" s="8"/>
      <c r="C599" s="8"/>
      <c r="D599" s="8"/>
      <c r="E599" s="8"/>
      <c r="F599" s="1"/>
      <c r="T599" s="74"/>
      <c r="AA599" s="1"/>
      <c r="AH599" s="1"/>
      <c r="AO599" s="1"/>
    </row>
    <row r="600" ht="14.25" customHeight="1">
      <c r="B600" s="8"/>
      <c r="C600" s="8"/>
      <c r="D600" s="8"/>
      <c r="E600" s="8"/>
      <c r="F600" s="1"/>
      <c r="T600" s="74"/>
      <c r="AA600" s="1"/>
      <c r="AH600" s="1"/>
      <c r="AO600" s="1"/>
    </row>
    <row r="601" ht="14.25" customHeight="1">
      <c r="B601" s="8"/>
      <c r="C601" s="8"/>
      <c r="D601" s="8"/>
      <c r="E601" s="8"/>
      <c r="F601" s="1"/>
      <c r="T601" s="74"/>
      <c r="AA601" s="1"/>
      <c r="AH601" s="1"/>
      <c r="AO601" s="1"/>
    </row>
    <row r="602" ht="14.25" customHeight="1">
      <c r="B602" s="8"/>
      <c r="C602" s="8"/>
      <c r="D602" s="8"/>
      <c r="E602" s="8"/>
      <c r="F602" s="1"/>
      <c r="T602" s="74"/>
      <c r="AA602" s="1"/>
      <c r="AH602" s="1"/>
      <c r="AO602" s="1"/>
    </row>
    <row r="603" ht="14.25" customHeight="1">
      <c r="B603" s="8"/>
      <c r="C603" s="8"/>
      <c r="D603" s="8"/>
      <c r="E603" s="8"/>
      <c r="F603" s="1"/>
      <c r="T603" s="74"/>
      <c r="AA603" s="1"/>
      <c r="AH603" s="1"/>
      <c r="AO603" s="1"/>
    </row>
    <row r="604" ht="14.25" customHeight="1">
      <c r="B604" s="8"/>
      <c r="C604" s="8"/>
      <c r="D604" s="8"/>
      <c r="E604" s="8"/>
      <c r="F604" s="1"/>
      <c r="T604" s="74"/>
      <c r="AA604" s="1"/>
      <c r="AH604" s="1"/>
      <c r="AO604" s="1"/>
    </row>
    <row r="605" ht="14.25" customHeight="1">
      <c r="B605" s="8"/>
      <c r="C605" s="8"/>
      <c r="D605" s="8"/>
      <c r="E605" s="8"/>
      <c r="F605" s="1"/>
      <c r="T605" s="74"/>
      <c r="AA605" s="1"/>
      <c r="AH605" s="1"/>
      <c r="AO605" s="1"/>
    </row>
    <row r="606" ht="14.25" customHeight="1">
      <c r="B606" s="8"/>
      <c r="C606" s="8"/>
      <c r="D606" s="8"/>
      <c r="E606" s="8"/>
      <c r="F606" s="1"/>
      <c r="T606" s="74"/>
      <c r="AA606" s="1"/>
      <c r="AH606" s="1"/>
      <c r="AO606" s="1"/>
    </row>
    <row r="607" ht="14.25" customHeight="1">
      <c r="B607" s="8"/>
      <c r="C607" s="8"/>
      <c r="D607" s="8"/>
      <c r="E607" s="8"/>
      <c r="F607" s="1"/>
      <c r="T607" s="74"/>
      <c r="AA607" s="1"/>
      <c r="AH607" s="1"/>
      <c r="AO607" s="1"/>
    </row>
    <row r="608" ht="14.25" customHeight="1">
      <c r="B608" s="8"/>
      <c r="C608" s="8"/>
      <c r="D608" s="8"/>
      <c r="E608" s="8"/>
      <c r="F608" s="1"/>
      <c r="T608" s="74"/>
      <c r="AA608" s="1"/>
      <c r="AH608" s="1"/>
      <c r="AO608" s="1"/>
    </row>
    <row r="609" ht="14.25" customHeight="1">
      <c r="B609" s="8"/>
      <c r="C609" s="8"/>
      <c r="D609" s="8"/>
      <c r="E609" s="8"/>
      <c r="F609" s="1"/>
      <c r="T609" s="74"/>
      <c r="AA609" s="1"/>
      <c r="AH609" s="1"/>
      <c r="AO609" s="1"/>
    </row>
    <row r="610" ht="14.25" customHeight="1">
      <c r="B610" s="8"/>
      <c r="C610" s="8"/>
      <c r="D610" s="8"/>
      <c r="E610" s="8"/>
      <c r="F610" s="1"/>
      <c r="T610" s="74"/>
      <c r="AA610" s="1"/>
      <c r="AH610" s="1"/>
      <c r="AO610" s="1"/>
    </row>
    <row r="611" ht="14.25" customHeight="1">
      <c r="B611" s="8"/>
      <c r="C611" s="8"/>
      <c r="D611" s="8"/>
      <c r="E611" s="8"/>
      <c r="F611" s="1"/>
      <c r="T611" s="74"/>
      <c r="AA611" s="1"/>
      <c r="AH611" s="1"/>
      <c r="AO611" s="1"/>
    </row>
    <row r="612" ht="14.25" customHeight="1">
      <c r="B612" s="8"/>
      <c r="C612" s="8"/>
      <c r="D612" s="8"/>
      <c r="E612" s="8"/>
      <c r="F612" s="1"/>
      <c r="T612" s="74"/>
      <c r="AA612" s="1"/>
      <c r="AH612" s="1"/>
      <c r="AO612" s="1"/>
    </row>
    <row r="613" ht="14.25" customHeight="1">
      <c r="B613" s="8"/>
      <c r="C613" s="8"/>
      <c r="D613" s="8"/>
      <c r="E613" s="8"/>
      <c r="F613" s="1"/>
      <c r="T613" s="74"/>
      <c r="AA613" s="1"/>
      <c r="AH613" s="1"/>
      <c r="AO613" s="1"/>
    </row>
    <row r="614" ht="14.25" customHeight="1">
      <c r="B614" s="8"/>
      <c r="C614" s="8"/>
      <c r="D614" s="8"/>
      <c r="E614" s="8"/>
      <c r="F614" s="1"/>
      <c r="T614" s="74"/>
      <c r="AA614" s="1"/>
      <c r="AH614" s="1"/>
      <c r="AO614" s="1"/>
    </row>
    <row r="615" ht="14.25" customHeight="1">
      <c r="B615" s="8"/>
      <c r="C615" s="8"/>
      <c r="D615" s="8"/>
      <c r="E615" s="8"/>
      <c r="F615" s="1"/>
      <c r="T615" s="74"/>
      <c r="AA615" s="1"/>
      <c r="AH615" s="1"/>
      <c r="AO615" s="1"/>
    </row>
    <row r="616" ht="14.25" customHeight="1">
      <c r="B616" s="8"/>
      <c r="C616" s="8"/>
      <c r="D616" s="8"/>
      <c r="E616" s="8"/>
      <c r="F616" s="1"/>
      <c r="T616" s="74"/>
      <c r="AA616" s="1"/>
      <c r="AH616" s="1"/>
      <c r="AO616" s="1"/>
    </row>
    <row r="617" ht="14.25" customHeight="1">
      <c r="B617" s="8"/>
      <c r="C617" s="8"/>
      <c r="D617" s="8"/>
      <c r="E617" s="8"/>
      <c r="F617" s="1"/>
      <c r="T617" s="74"/>
      <c r="AA617" s="1"/>
      <c r="AH617" s="1"/>
      <c r="AO617" s="1"/>
    </row>
    <row r="618" ht="14.25" customHeight="1">
      <c r="B618" s="8"/>
      <c r="C618" s="8"/>
      <c r="D618" s="8"/>
      <c r="E618" s="8"/>
      <c r="F618" s="1"/>
      <c r="T618" s="74"/>
      <c r="AA618" s="1"/>
      <c r="AH618" s="1"/>
      <c r="AO618" s="1"/>
    </row>
    <row r="619" ht="14.25" customHeight="1">
      <c r="B619" s="8"/>
      <c r="C619" s="8"/>
      <c r="D619" s="8"/>
      <c r="E619" s="8"/>
      <c r="F619" s="1"/>
      <c r="T619" s="74"/>
      <c r="AA619" s="1"/>
      <c r="AH619" s="1"/>
      <c r="AO619" s="1"/>
    </row>
    <row r="620" ht="14.25" customHeight="1">
      <c r="B620" s="8"/>
      <c r="C620" s="8"/>
      <c r="D620" s="8"/>
      <c r="E620" s="8"/>
      <c r="F620" s="1"/>
      <c r="T620" s="74"/>
      <c r="AA620" s="1"/>
      <c r="AH620" s="1"/>
      <c r="AO620" s="1"/>
    </row>
    <row r="621" ht="14.25" customHeight="1">
      <c r="B621" s="8"/>
      <c r="C621" s="8"/>
      <c r="D621" s="8"/>
      <c r="E621" s="8"/>
      <c r="F621" s="1"/>
      <c r="T621" s="74"/>
      <c r="AA621" s="1"/>
      <c r="AH621" s="1"/>
      <c r="AO621" s="1"/>
    </row>
    <row r="622" ht="14.25" customHeight="1">
      <c r="B622" s="8"/>
      <c r="C622" s="8"/>
      <c r="D622" s="8"/>
      <c r="E622" s="8"/>
      <c r="F622" s="1"/>
      <c r="T622" s="74"/>
      <c r="AA622" s="1"/>
      <c r="AH622" s="1"/>
      <c r="AO622" s="1"/>
    </row>
    <row r="623" ht="14.25" customHeight="1">
      <c r="B623" s="8"/>
      <c r="C623" s="8"/>
      <c r="D623" s="8"/>
      <c r="E623" s="8"/>
      <c r="F623" s="1"/>
      <c r="T623" s="74"/>
      <c r="AA623" s="1"/>
      <c r="AH623" s="1"/>
      <c r="AO623" s="1"/>
    </row>
    <row r="624" ht="14.25" customHeight="1">
      <c r="B624" s="8"/>
      <c r="C624" s="8"/>
      <c r="D624" s="8"/>
      <c r="E624" s="8"/>
      <c r="F624" s="1"/>
      <c r="T624" s="74"/>
      <c r="AA624" s="1"/>
      <c r="AH624" s="1"/>
      <c r="AO624" s="1"/>
    </row>
    <row r="625" ht="14.25" customHeight="1">
      <c r="B625" s="8"/>
      <c r="C625" s="8"/>
      <c r="D625" s="8"/>
      <c r="E625" s="8"/>
      <c r="F625" s="1"/>
      <c r="T625" s="74"/>
      <c r="AA625" s="1"/>
      <c r="AH625" s="1"/>
      <c r="AO625" s="1"/>
    </row>
    <row r="626" ht="14.25" customHeight="1">
      <c r="B626" s="8"/>
      <c r="C626" s="8"/>
      <c r="D626" s="8"/>
      <c r="E626" s="8"/>
      <c r="F626" s="1"/>
      <c r="T626" s="74"/>
      <c r="AA626" s="1"/>
      <c r="AH626" s="1"/>
      <c r="AO626" s="1"/>
    </row>
    <row r="627" ht="14.25" customHeight="1">
      <c r="B627" s="8"/>
      <c r="C627" s="8"/>
      <c r="D627" s="8"/>
      <c r="E627" s="8"/>
      <c r="F627" s="1"/>
      <c r="T627" s="74"/>
      <c r="AA627" s="1"/>
      <c r="AH627" s="1"/>
      <c r="AO627" s="1"/>
    </row>
    <row r="628" ht="14.25" customHeight="1">
      <c r="B628" s="8"/>
      <c r="C628" s="8"/>
      <c r="D628" s="8"/>
      <c r="E628" s="8"/>
      <c r="F628" s="1"/>
      <c r="T628" s="74"/>
      <c r="AA628" s="1"/>
      <c r="AH628" s="1"/>
      <c r="AO628" s="1"/>
    </row>
    <row r="629" ht="14.25" customHeight="1">
      <c r="B629" s="8"/>
      <c r="C629" s="8"/>
      <c r="D629" s="8"/>
      <c r="E629" s="8"/>
      <c r="F629" s="1"/>
      <c r="T629" s="74"/>
      <c r="AA629" s="1"/>
      <c r="AH629" s="1"/>
      <c r="AO629" s="1"/>
    </row>
    <row r="630" ht="14.25" customHeight="1">
      <c r="B630" s="8"/>
      <c r="C630" s="8"/>
      <c r="D630" s="8"/>
      <c r="E630" s="8"/>
      <c r="F630" s="1"/>
      <c r="T630" s="74"/>
      <c r="AA630" s="1"/>
      <c r="AH630" s="1"/>
      <c r="AO630" s="1"/>
    </row>
    <row r="631" ht="14.25" customHeight="1">
      <c r="B631" s="8"/>
      <c r="C631" s="8"/>
      <c r="D631" s="8"/>
      <c r="E631" s="8"/>
      <c r="F631" s="1"/>
      <c r="T631" s="74"/>
      <c r="AA631" s="1"/>
      <c r="AH631" s="1"/>
      <c r="AO631" s="1"/>
    </row>
    <row r="632" ht="14.25" customHeight="1">
      <c r="B632" s="8"/>
      <c r="C632" s="8"/>
      <c r="D632" s="8"/>
      <c r="E632" s="8"/>
      <c r="F632" s="1"/>
      <c r="T632" s="74"/>
      <c r="AA632" s="1"/>
      <c r="AH632" s="1"/>
      <c r="AO632" s="1"/>
    </row>
    <row r="633" ht="14.25" customHeight="1">
      <c r="B633" s="8"/>
      <c r="C633" s="8"/>
      <c r="D633" s="8"/>
      <c r="E633" s="8"/>
      <c r="F633" s="1"/>
      <c r="T633" s="74"/>
      <c r="AA633" s="1"/>
      <c r="AH633" s="1"/>
      <c r="AO633" s="1"/>
    </row>
    <row r="634" ht="14.25" customHeight="1">
      <c r="B634" s="8"/>
      <c r="C634" s="8"/>
      <c r="D634" s="8"/>
      <c r="E634" s="8"/>
      <c r="F634" s="1"/>
      <c r="T634" s="74"/>
      <c r="AA634" s="1"/>
      <c r="AH634" s="1"/>
      <c r="AO634" s="1"/>
    </row>
    <row r="635" ht="14.25" customHeight="1">
      <c r="B635" s="8"/>
      <c r="C635" s="8"/>
      <c r="D635" s="8"/>
      <c r="E635" s="8"/>
      <c r="F635" s="1"/>
      <c r="T635" s="74"/>
      <c r="AA635" s="1"/>
      <c r="AH635" s="1"/>
      <c r="AO635" s="1"/>
    </row>
    <row r="636" ht="14.25" customHeight="1">
      <c r="B636" s="8"/>
      <c r="C636" s="8"/>
      <c r="D636" s="8"/>
      <c r="E636" s="8"/>
      <c r="F636" s="1"/>
      <c r="T636" s="74"/>
      <c r="AA636" s="1"/>
      <c r="AH636" s="1"/>
      <c r="AO636" s="1"/>
    </row>
    <row r="637" ht="14.25" customHeight="1">
      <c r="B637" s="8"/>
      <c r="C637" s="8"/>
      <c r="D637" s="8"/>
      <c r="E637" s="8"/>
      <c r="F637" s="1"/>
      <c r="T637" s="74"/>
      <c r="AA637" s="1"/>
      <c r="AH637" s="1"/>
      <c r="AO637" s="1"/>
    </row>
    <row r="638" ht="14.25" customHeight="1">
      <c r="B638" s="8"/>
      <c r="C638" s="8"/>
      <c r="D638" s="8"/>
      <c r="E638" s="8"/>
      <c r="F638" s="1"/>
      <c r="T638" s="74"/>
      <c r="AA638" s="1"/>
      <c r="AH638" s="1"/>
      <c r="AO638" s="1"/>
    </row>
    <row r="639" ht="14.25" customHeight="1">
      <c r="B639" s="8"/>
      <c r="C639" s="8"/>
      <c r="D639" s="8"/>
      <c r="E639" s="8"/>
      <c r="F639" s="1"/>
      <c r="T639" s="74"/>
      <c r="AA639" s="1"/>
      <c r="AH639" s="1"/>
      <c r="AO639" s="1"/>
    </row>
    <row r="640" ht="14.25" customHeight="1">
      <c r="B640" s="8"/>
      <c r="C640" s="8"/>
      <c r="D640" s="8"/>
      <c r="E640" s="8"/>
      <c r="F640" s="1"/>
      <c r="T640" s="74"/>
      <c r="AA640" s="1"/>
      <c r="AH640" s="1"/>
      <c r="AO640" s="1"/>
    </row>
    <row r="641" ht="14.25" customHeight="1">
      <c r="B641" s="8"/>
      <c r="C641" s="8"/>
      <c r="D641" s="8"/>
      <c r="E641" s="8"/>
      <c r="F641" s="1"/>
      <c r="T641" s="74"/>
      <c r="AA641" s="1"/>
      <c r="AH641" s="1"/>
      <c r="AO641" s="1"/>
    </row>
    <row r="642" ht="14.25" customHeight="1">
      <c r="B642" s="8"/>
      <c r="C642" s="8"/>
      <c r="D642" s="8"/>
      <c r="E642" s="8"/>
      <c r="F642" s="1"/>
      <c r="T642" s="74"/>
      <c r="AA642" s="1"/>
      <c r="AH642" s="1"/>
      <c r="AO642" s="1"/>
    </row>
    <row r="643" ht="14.25" customHeight="1">
      <c r="B643" s="8"/>
      <c r="C643" s="8"/>
      <c r="D643" s="8"/>
      <c r="E643" s="8"/>
      <c r="F643" s="1"/>
      <c r="T643" s="74"/>
      <c r="AA643" s="1"/>
      <c r="AH643" s="1"/>
      <c r="AO643" s="1"/>
    </row>
    <row r="644" ht="14.25" customHeight="1">
      <c r="B644" s="8"/>
      <c r="C644" s="8"/>
      <c r="D644" s="8"/>
      <c r="E644" s="8"/>
      <c r="F644" s="1"/>
      <c r="T644" s="74"/>
      <c r="AA644" s="1"/>
      <c r="AH644" s="1"/>
      <c r="AO644" s="1"/>
    </row>
    <row r="645" ht="14.25" customHeight="1">
      <c r="B645" s="8"/>
      <c r="C645" s="8"/>
      <c r="D645" s="8"/>
      <c r="E645" s="8"/>
      <c r="F645" s="1"/>
      <c r="T645" s="74"/>
      <c r="AA645" s="1"/>
      <c r="AH645" s="1"/>
      <c r="AO645" s="1"/>
    </row>
    <row r="646" ht="14.25" customHeight="1">
      <c r="B646" s="8"/>
      <c r="C646" s="8"/>
      <c r="D646" s="8"/>
      <c r="E646" s="8"/>
      <c r="F646" s="1"/>
      <c r="T646" s="74"/>
      <c r="AA646" s="1"/>
      <c r="AH646" s="1"/>
      <c r="AO646" s="1"/>
    </row>
    <row r="647" ht="14.25" customHeight="1">
      <c r="B647" s="8"/>
      <c r="C647" s="8"/>
      <c r="D647" s="8"/>
      <c r="E647" s="8"/>
      <c r="F647" s="1"/>
      <c r="T647" s="74"/>
      <c r="AA647" s="1"/>
      <c r="AH647" s="1"/>
      <c r="AO647" s="1"/>
    </row>
    <row r="648" ht="14.25" customHeight="1">
      <c r="B648" s="8"/>
      <c r="C648" s="8"/>
      <c r="D648" s="8"/>
      <c r="E648" s="8"/>
      <c r="F648" s="1"/>
      <c r="T648" s="74"/>
      <c r="AA648" s="1"/>
      <c r="AH648" s="1"/>
      <c r="AO648" s="1"/>
    </row>
    <row r="649" ht="14.25" customHeight="1">
      <c r="B649" s="8"/>
      <c r="C649" s="8"/>
      <c r="D649" s="8"/>
      <c r="E649" s="8"/>
      <c r="F649" s="1"/>
      <c r="T649" s="74"/>
      <c r="AA649" s="1"/>
      <c r="AH649" s="1"/>
      <c r="AO649" s="1"/>
    </row>
    <row r="650" ht="14.25" customHeight="1">
      <c r="B650" s="8"/>
      <c r="C650" s="8"/>
      <c r="D650" s="8"/>
      <c r="E650" s="8"/>
      <c r="F650" s="1"/>
      <c r="T650" s="74"/>
      <c r="AA650" s="1"/>
      <c r="AH650" s="1"/>
      <c r="AO650" s="1"/>
    </row>
    <row r="651" ht="14.25" customHeight="1">
      <c r="B651" s="8"/>
      <c r="C651" s="8"/>
      <c r="D651" s="8"/>
      <c r="E651" s="8"/>
      <c r="F651" s="1"/>
      <c r="T651" s="74"/>
      <c r="AA651" s="1"/>
      <c r="AH651" s="1"/>
      <c r="AO651" s="1"/>
    </row>
    <row r="652" ht="14.25" customHeight="1">
      <c r="B652" s="8"/>
      <c r="C652" s="8"/>
      <c r="D652" s="8"/>
      <c r="E652" s="8"/>
      <c r="F652" s="1"/>
      <c r="T652" s="74"/>
      <c r="AA652" s="1"/>
      <c r="AH652" s="1"/>
      <c r="AO652" s="1"/>
    </row>
    <row r="653" ht="14.25" customHeight="1">
      <c r="B653" s="8"/>
      <c r="C653" s="8"/>
      <c r="D653" s="8"/>
      <c r="E653" s="8"/>
      <c r="F653" s="1"/>
      <c r="T653" s="74"/>
      <c r="AA653" s="1"/>
      <c r="AH653" s="1"/>
      <c r="AO653" s="1"/>
    </row>
    <row r="654" ht="14.25" customHeight="1">
      <c r="B654" s="8"/>
      <c r="C654" s="8"/>
      <c r="D654" s="8"/>
      <c r="E654" s="8"/>
      <c r="F654" s="1"/>
      <c r="T654" s="74"/>
      <c r="AA654" s="1"/>
      <c r="AH654" s="1"/>
      <c r="AO654" s="1"/>
    </row>
    <row r="655" ht="14.25" customHeight="1">
      <c r="B655" s="8"/>
      <c r="C655" s="8"/>
      <c r="D655" s="8"/>
      <c r="E655" s="8"/>
      <c r="F655" s="1"/>
      <c r="T655" s="74"/>
      <c r="AA655" s="1"/>
      <c r="AH655" s="1"/>
      <c r="AO655" s="1"/>
    </row>
    <row r="656" ht="14.25" customHeight="1">
      <c r="B656" s="8"/>
      <c r="C656" s="8"/>
      <c r="D656" s="8"/>
      <c r="E656" s="8"/>
      <c r="F656" s="1"/>
      <c r="T656" s="74"/>
      <c r="AA656" s="1"/>
      <c r="AH656" s="1"/>
      <c r="AO656" s="1"/>
    </row>
    <row r="657" ht="14.25" customHeight="1">
      <c r="B657" s="8"/>
      <c r="C657" s="8"/>
      <c r="D657" s="8"/>
      <c r="E657" s="8"/>
      <c r="F657" s="1"/>
      <c r="T657" s="74"/>
      <c r="AA657" s="1"/>
      <c r="AH657" s="1"/>
      <c r="AO657" s="1"/>
    </row>
    <row r="658" ht="14.25" customHeight="1">
      <c r="B658" s="8"/>
      <c r="C658" s="8"/>
      <c r="D658" s="8"/>
      <c r="E658" s="8"/>
      <c r="F658" s="1"/>
      <c r="T658" s="74"/>
      <c r="AA658" s="1"/>
      <c r="AH658" s="1"/>
      <c r="AO658" s="1"/>
    </row>
    <row r="659" ht="14.25" customHeight="1">
      <c r="B659" s="8"/>
      <c r="C659" s="8"/>
      <c r="D659" s="8"/>
      <c r="E659" s="8"/>
      <c r="F659" s="1"/>
      <c r="T659" s="74"/>
      <c r="AA659" s="1"/>
      <c r="AH659" s="1"/>
      <c r="AO659" s="1"/>
    </row>
    <row r="660" ht="14.25" customHeight="1">
      <c r="B660" s="8"/>
      <c r="C660" s="8"/>
      <c r="D660" s="8"/>
      <c r="E660" s="8"/>
      <c r="F660" s="1"/>
      <c r="T660" s="74"/>
      <c r="AA660" s="1"/>
      <c r="AH660" s="1"/>
      <c r="AO660" s="1"/>
    </row>
    <row r="661" ht="14.25" customHeight="1">
      <c r="B661" s="8"/>
      <c r="C661" s="8"/>
      <c r="D661" s="8"/>
      <c r="E661" s="8"/>
      <c r="F661" s="1"/>
      <c r="T661" s="74"/>
      <c r="AA661" s="1"/>
      <c r="AH661" s="1"/>
      <c r="AO661" s="1"/>
    </row>
    <row r="662" ht="14.25" customHeight="1">
      <c r="B662" s="8"/>
      <c r="C662" s="8"/>
      <c r="D662" s="8"/>
      <c r="E662" s="8"/>
      <c r="F662" s="1"/>
      <c r="T662" s="74"/>
      <c r="AA662" s="1"/>
      <c r="AH662" s="1"/>
      <c r="AO662" s="1"/>
    </row>
    <row r="663" ht="14.25" customHeight="1">
      <c r="B663" s="8"/>
      <c r="C663" s="8"/>
      <c r="D663" s="8"/>
      <c r="E663" s="8"/>
      <c r="F663" s="1"/>
      <c r="T663" s="74"/>
      <c r="AA663" s="1"/>
      <c r="AH663" s="1"/>
      <c r="AO663" s="1"/>
    </row>
    <row r="664" ht="14.25" customHeight="1">
      <c r="B664" s="8"/>
      <c r="C664" s="8"/>
      <c r="D664" s="8"/>
      <c r="E664" s="8"/>
      <c r="F664" s="1"/>
      <c r="T664" s="74"/>
      <c r="AA664" s="1"/>
      <c r="AH664" s="1"/>
      <c r="AO664" s="1"/>
    </row>
    <row r="665" ht="14.25" customHeight="1">
      <c r="B665" s="8"/>
      <c r="C665" s="8"/>
      <c r="D665" s="8"/>
      <c r="E665" s="8"/>
      <c r="F665" s="1"/>
      <c r="T665" s="74"/>
      <c r="AA665" s="1"/>
      <c r="AH665" s="1"/>
      <c r="AO665" s="1"/>
    </row>
    <row r="666" ht="14.25" customHeight="1">
      <c r="B666" s="8"/>
      <c r="C666" s="8"/>
      <c r="D666" s="8"/>
      <c r="E666" s="8"/>
      <c r="F666" s="1"/>
      <c r="T666" s="74"/>
      <c r="AA666" s="1"/>
      <c r="AH666" s="1"/>
      <c r="AO666" s="1"/>
    </row>
    <row r="667" ht="14.25" customHeight="1">
      <c r="B667" s="8"/>
      <c r="C667" s="8"/>
      <c r="D667" s="8"/>
      <c r="E667" s="8"/>
      <c r="F667" s="1"/>
      <c r="T667" s="74"/>
      <c r="AA667" s="1"/>
      <c r="AH667" s="1"/>
      <c r="AO667" s="1"/>
    </row>
    <row r="668" ht="14.25" customHeight="1">
      <c r="B668" s="8"/>
      <c r="C668" s="8"/>
      <c r="D668" s="8"/>
      <c r="E668" s="8"/>
      <c r="F668" s="1"/>
      <c r="T668" s="74"/>
      <c r="AA668" s="1"/>
      <c r="AH668" s="1"/>
      <c r="AO668" s="1"/>
    </row>
    <row r="669" ht="14.25" customHeight="1">
      <c r="B669" s="8"/>
      <c r="C669" s="8"/>
      <c r="D669" s="8"/>
      <c r="E669" s="8"/>
      <c r="F669" s="1"/>
      <c r="T669" s="74"/>
      <c r="AA669" s="1"/>
      <c r="AH669" s="1"/>
      <c r="AO669" s="1"/>
    </row>
    <row r="670" ht="14.25" customHeight="1">
      <c r="B670" s="8"/>
      <c r="C670" s="8"/>
      <c r="D670" s="8"/>
      <c r="E670" s="8"/>
      <c r="F670" s="1"/>
      <c r="T670" s="74"/>
      <c r="AA670" s="1"/>
      <c r="AH670" s="1"/>
      <c r="AO670" s="1"/>
    </row>
    <row r="671" ht="14.25" customHeight="1">
      <c r="B671" s="8"/>
      <c r="C671" s="8"/>
      <c r="D671" s="8"/>
      <c r="E671" s="8"/>
      <c r="F671" s="1"/>
      <c r="T671" s="74"/>
      <c r="AA671" s="1"/>
      <c r="AH671" s="1"/>
      <c r="AO671" s="1"/>
    </row>
    <row r="672" ht="14.25" customHeight="1">
      <c r="B672" s="8"/>
      <c r="C672" s="8"/>
      <c r="D672" s="8"/>
      <c r="E672" s="8"/>
      <c r="F672" s="1"/>
      <c r="T672" s="74"/>
      <c r="AA672" s="1"/>
      <c r="AH672" s="1"/>
      <c r="AO672" s="1"/>
    </row>
    <row r="673" ht="14.25" customHeight="1">
      <c r="B673" s="8"/>
      <c r="C673" s="8"/>
      <c r="D673" s="8"/>
      <c r="E673" s="8"/>
      <c r="F673" s="1"/>
      <c r="T673" s="74"/>
      <c r="AA673" s="1"/>
      <c r="AH673" s="1"/>
      <c r="AO673" s="1"/>
    </row>
    <row r="674" ht="14.25" customHeight="1">
      <c r="B674" s="8"/>
      <c r="C674" s="8"/>
      <c r="D674" s="8"/>
      <c r="E674" s="8"/>
      <c r="F674" s="1"/>
      <c r="T674" s="74"/>
      <c r="AA674" s="1"/>
      <c r="AH674" s="1"/>
      <c r="AO674" s="1"/>
    </row>
    <row r="675" ht="14.25" customHeight="1">
      <c r="B675" s="8"/>
      <c r="C675" s="8"/>
      <c r="D675" s="8"/>
      <c r="E675" s="8"/>
      <c r="F675" s="1"/>
      <c r="T675" s="74"/>
      <c r="AA675" s="1"/>
      <c r="AH675" s="1"/>
      <c r="AO675" s="1"/>
    </row>
    <row r="676" ht="14.25" customHeight="1">
      <c r="B676" s="8"/>
      <c r="C676" s="8"/>
      <c r="D676" s="8"/>
      <c r="E676" s="8"/>
      <c r="F676" s="1"/>
      <c r="T676" s="74"/>
      <c r="AA676" s="1"/>
      <c r="AH676" s="1"/>
      <c r="AO676" s="1"/>
    </row>
    <row r="677" ht="14.25" customHeight="1">
      <c r="B677" s="8"/>
      <c r="C677" s="8"/>
      <c r="D677" s="8"/>
      <c r="E677" s="8"/>
      <c r="F677" s="1"/>
      <c r="T677" s="74"/>
      <c r="AA677" s="1"/>
      <c r="AH677" s="1"/>
      <c r="AO677" s="1"/>
    </row>
    <row r="678" ht="14.25" customHeight="1">
      <c r="B678" s="8"/>
      <c r="C678" s="8"/>
      <c r="D678" s="8"/>
      <c r="E678" s="8"/>
      <c r="F678" s="1"/>
      <c r="T678" s="74"/>
      <c r="AA678" s="1"/>
      <c r="AH678" s="1"/>
      <c r="AO678" s="1"/>
    </row>
    <row r="679" ht="14.25" customHeight="1">
      <c r="B679" s="8"/>
      <c r="C679" s="8"/>
      <c r="D679" s="8"/>
      <c r="E679" s="8"/>
      <c r="F679" s="1"/>
      <c r="T679" s="74"/>
      <c r="AA679" s="1"/>
      <c r="AH679" s="1"/>
      <c r="AO679" s="1"/>
    </row>
    <row r="680" ht="14.25" customHeight="1">
      <c r="B680" s="8"/>
      <c r="C680" s="8"/>
      <c r="D680" s="8"/>
      <c r="E680" s="8"/>
      <c r="F680" s="1"/>
      <c r="T680" s="74"/>
      <c r="AA680" s="1"/>
      <c r="AH680" s="1"/>
      <c r="AO680" s="1"/>
    </row>
    <row r="681" ht="14.25" customHeight="1">
      <c r="B681" s="8"/>
      <c r="C681" s="8"/>
      <c r="D681" s="8"/>
      <c r="E681" s="8"/>
      <c r="F681" s="1"/>
      <c r="T681" s="74"/>
      <c r="AA681" s="1"/>
      <c r="AH681" s="1"/>
      <c r="AO681" s="1"/>
    </row>
    <row r="682" ht="14.25" customHeight="1">
      <c r="B682" s="8"/>
      <c r="C682" s="8"/>
      <c r="D682" s="8"/>
      <c r="E682" s="8"/>
      <c r="F682" s="1"/>
      <c r="T682" s="74"/>
      <c r="AA682" s="1"/>
      <c r="AH682" s="1"/>
      <c r="AO682" s="1"/>
    </row>
    <row r="683" ht="14.25" customHeight="1">
      <c r="B683" s="8"/>
      <c r="C683" s="8"/>
      <c r="D683" s="8"/>
      <c r="E683" s="8"/>
      <c r="F683" s="1"/>
      <c r="T683" s="74"/>
      <c r="AA683" s="1"/>
      <c r="AH683" s="1"/>
      <c r="AO683" s="1"/>
    </row>
    <row r="684" ht="14.25" customHeight="1">
      <c r="B684" s="8"/>
      <c r="C684" s="8"/>
      <c r="D684" s="8"/>
      <c r="E684" s="8"/>
      <c r="F684" s="1"/>
      <c r="T684" s="74"/>
      <c r="AA684" s="1"/>
      <c r="AH684" s="1"/>
      <c r="AO684" s="1"/>
    </row>
    <row r="685" ht="14.25" customHeight="1">
      <c r="B685" s="8"/>
      <c r="C685" s="8"/>
      <c r="D685" s="8"/>
      <c r="E685" s="8"/>
      <c r="F685" s="1"/>
      <c r="T685" s="74"/>
      <c r="AA685" s="1"/>
      <c r="AH685" s="1"/>
      <c r="AO685" s="1"/>
    </row>
    <row r="686" ht="14.25" customHeight="1">
      <c r="B686" s="8"/>
      <c r="C686" s="8"/>
      <c r="D686" s="8"/>
      <c r="E686" s="8"/>
      <c r="F686" s="1"/>
      <c r="T686" s="74"/>
      <c r="AA686" s="1"/>
      <c r="AH686" s="1"/>
      <c r="AO686" s="1"/>
    </row>
    <row r="687" ht="14.25" customHeight="1">
      <c r="B687" s="8"/>
      <c r="C687" s="8"/>
      <c r="D687" s="8"/>
      <c r="E687" s="8"/>
      <c r="F687" s="1"/>
      <c r="T687" s="74"/>
      <c r="AA687" s="1"/>
      <c r="AH687" s="1"/>
      <c r="AO687" s="1"/>
    </row>
    <row r="688" ht="14.25" customHeight="1">
      <c r="B688" s="8"/>
      <c r="C688" s="8"/>
      <c r="D688" s="8"/>
      <c r="E688" s="8"/>
      <c r="F688" s="1"/>
      <c r="T688" s="74"/>
      <c r="AA688" s="1"/>
      <c r="AH688" s="1"/>
      <c r="AO688" s="1"/>
    </row>
    <row r="689" ht="14.25" customHeight="1">
      <c r="B689" s="8"/>
      <c r="C689" s="8"/>
      <c r="D689" s="8"/>
      <c r="E689" s="8"/>
      <c r="F689" s="1"/>
      <c r="T689" s="74"/>
      <c r="AA689" s="1"/>
      <c r="AH689" s="1"/>
      <c r="AO689" s="1"/>
    </row>
    <row r="690" ht="14.25" customHeight="1">
      <c r="B690" s="8"/>
      <c r="C690" s="8"/>
      <c r="D690" s="8"/>
      <c r="E690" s="8"/>
      <c r="F690" s="1"/>
      <c r="T690" s="74"/>
      <c r="AA690" s="1"/>
      <c r="AH690" s="1"/>
      <c r="AO690" s="1"/>
    </row>
    <row r="691" ht="14.25" customHeight="1">
      <c r="B691" s="8"/>
      <c r="C691" s="8"/>
      <c r="D691" s="8"/>
      <c r="E691" s="8"/>
      <c r="F691" s="1"/>
      <c r="T691" s="74"/>
      <c r="AA691" s="1"/>
      <c r="AH691" s="1"/>
      <c r="AO691" s="1"/>
    </row>
    <row r="692" ht="14.25" customHeight="1">
      <c r="B692" s="8"/>
      <c r="C692" s="8"/>
      <c r="D692" s="8"/>
      <c r="E692" s="8"/>
      <c r="F692" s="1"/>
      <c r="T692" s="74"/>
      <c r="AA692" s="1"/>
      <c r="AH692" s="1"/>
      <c r="AO692" s="1"/>
    </row>
    <row r="693" ht="14.25" customHeight="1">
      <c r="B693" s="8"/>
      <c r="C693" s="8"/>
      <c r="D693" s="8"/>
      <c r="E693" s="8"/>
      <c r="F693" s="1"/>
      <c r="T693" s="74"/>
      <c r="AA693" s="1"/>
      <c r="AH693" s="1"/>
      <c r="AO693" s="1"/>
    </row>
    <row r="694" ht="14.25" customHeight="1">
      <c r="B694" s="8"/>
      <c r="C694" s="8"/>
      <c r="D694" s="8"/>
      <c r="E694" s="8"/>
      <c r="F694" s="1"/>
      <c r="T694" s="74"/>
      <c r="AA694" s="1"/>
      <c r="AH694" s="1"/>
      <c r="AO694" s="1"/>
    </row>
    <row r="695" ht="14.25" customHeight="1">
      <c r="B695" s="8"/>
      <c r="C695" s="8"/>
      <c r="D695" s="8"/>
      <c r="E695" s="8"/>
      <c r="F695" s="1"/>
      <c r="T695" s="74"/>
      <c r="AA695" s="1"/>
      <c r="AH695" s="1"/>
      <c r="AO695" s="1"/>
    </row>
    <row r="696" ht="14.25" customHeight="1">
      <c r="B696" s="8"/>
      <c r="C696" s="8"/>
      <c r="D696" s="8"/>
      <c r="E696" s="8"/>
      <c r="F696" s="1"/>
      <c r="T696" s="74"/>
      <c r="AA696" s="1"/>
      <c r="AH696" s="1"/>
      <c r="AO696" s="1"/>
    </row>
    <row r="697" ht="14.25" customHeight="1">
      <c r="B697" s="8"/>
      <c r="C697" s="8"/>
      <c r="D697" s="8"/>
      <c r="E697" s="8"/>
      <c r="F697" s="1"/>
      <c r="T697" s="74"/>
      <c r="AA697" s="1"/>
      <c r="AH697" s="1"/>
      <c r="AO697" s="1"/>
    </row>
    <row r="698" ht="14.25" customHeight="1">
      <c r="B698" s="8"/>
      <c r="C698" s="8"/>
      <c r="D698" s="8"/>
      <c r="E698" s="8"/>
      <c r="F698" s="1"/>
      <c r="T698" s="74"/>
      <c r="AA698" s="1"/>
      <c r="AH698" s="1"/>
      <c r="AO698" s="1"/>
    </row>
    <row r="699" ht="14.25" customHeight="1">
      <c r="B699" s="8"/>
      <c r="C699" s="8"/>
      <c r="D699" s="8"/>
      <c r="E699" s="8"/>
      <c r="F699" s="1"/>
      <c r="T699" s="74"/>
      <c r="AA699" s="1"/>
      <c r="AH699" s="1"/>
      <c r="AO699" s="1"/>
    </row>
    <row r="700" ht="14.25" customHeight="1">
      <c r="B700" s="8"/>
      <c r="C700" s="8"/>
      <c r="D700" s="8"/>
      <c r="E700" s="8"/>
      <c r="F700" s="1"/>
      <c r="T700" s="74"/>
      <c r="AA700" s="1"/>
      <c r="AH700" s="1"/>
      <c r="AO700" s="1"/>
    </row>
    <row r="701" ht="14.25" customHeight="1">
      <c r="B701" s="8"/>
      <c r="C701" s="8"/>
      <c r="D701" s="8"/>
      <c r="E701" s="8"/>
      <c r="F701" s="1"/>
      <c r="T701" s="74"/>
      <c r="AA701" s="1"/>
      <c r="AH701" s="1"/>
      <c r="AO701" s="1"/>
    </row>
    <row r="702" ht="14.25" customHeight="1">
      <c r="B702" s="8"/>
      <c r="C702" s="8"/>
      <c r="D702" s="8"/>
      <c r="E702" s="8"/>
      <c r="F702" s="1"/>
      <c r="T702" s="74"/>
      <c r="AA702" s="1"/>
      <c r="AH702" s="1"/>
      <c r="AO702" s="1"/>
    </row>
    <row r="703" ht="14.25" customHeight="1">
      <c r="B703" s="8"/>
      <c r="C703" s="8"/>
      <c r="D703" s="8"/>
      <c r="E703" s="8"/>
      <c r="F703" s="1"/>
      <c r="T703" s="74"/>
      <c r="AA703" s="1"/>
      <c r="AH703" s="1"/>
      <c r="AO703" s="1"/>
    </row>
    <row r="704" ht="14.25" customHeight="1">
      <c r="B704" s="8"/>
      <c r="C704" s="8"/>
      <c r="D704" s="8"/>
      <c r="E704" s="8"/>
      <c r="F704" s="1"/>
      <c r="T704" s="74"/>
      <c r="AA704" s="1"/>
      <c r="AH704" s="1"/>
      <c r="AO704" s="1"/>
    </row>
    <row r="705" ht="14.25" customHeight="1">
      <c r="B705" s="8"/>
      <c r="C705" s="8"/>
      <c r="D705" s="8"/>
      <c r="E705" s="8"/>
      <c r="F705" s="1"/>
      <c r="T705" s="74"/>
      <c r="AA705" s="1"/>
      <c r="AH705" s="1"/>
      <c r="AO705" s="1"/>
    </row>
    <row r="706" ht="14.25" customHeight="1">
      <c r="B706" s="8"/>
      <c r="C706" s="8"/>
      <c r="D706" s="8"/>
      <c r="E706" s="8"/>
      <c r="F706" s="1"/>
      <c r="T706" s="74"/>
      <c r="AA706" s="1"/>
      <c r="AH706" s="1"/>
      <c r="AO706" s="1"/>
    </row>
    <row r="707" ht="14.25" customHeight="1">
      <c r="B707" s="8"/>
      <c r="C707" s="8"/>
      <c r="D707" s="8"/>
      <c r="E707" s="8"/>
      <c r="F707" s="1"/>
      <c r="T707" s="74"/>
      <c r="AA707" s="1"/>
      <c r="AH707" s="1"/>
      <c r="AO707" s="1"/>
    </row>
    <row r="708" ht="14.25" customHeight="1">
      <c r="B708" s="8"/>
      <c r="C708" s="8"/>
      <c r="D708" s="8"/>
      <c r="E708" s="8"/>
      <c r="F708" s="1"/>
      <c r="T708" s="74"/>
      <c r="AA708" s="1"/>
      <c r="AH708" s="1"/>
      <c r="AO708" s="1"/>
    </row>
    <row r="709" ht="14.25" customHeight="1">
      <c r="B709" s="8"/>
      <c r="C709" s="8"/>
      <c r="D709" s="8"/>
      <c r="E709" s="8"/>
      <c r="F709" s="1"/>
      <c r="T709" s="74"/>
      <c r="AA709" s="1"/>
      <c r="AH709" s="1"/>
      <c r="AO709" s="1"/>
    </row>
    <row r="710" ht="14.25" customHeight="1">
      <c r="B710" s="8"/>
      <c r="C710" s="8"/>
      <c r="D710" s="8"/>
      <c r="E710" s="8"/>
      <c r="F710" s="1"/>
      <c r="T710" s="74"/>
      <c r="AA710" s="1"/>
      <c r="AH710" s="1"/>
      <c r="AO710" s="1"/>
    </row>
    <row r="711" ht="14.25" customHeight="1">
      <c r="B711" s="8"/>
      <c r="C711" s="8"/>
      <c r="D711" s="8"/>
      <c r="E711" s="8"/>
      <c r="F711" s="1"/>
      <c r="T711" s="74"/>
      <c r="AA711" s="1"/>
      <c r="AH711" s="1"/>
      <c r="AO711" s="1"/>
    </row>
    <row r="712" ht="14.25" customHeight="1">
      <c r="B712" s="8"/>
      <c r="C712" s="8"/>
      <c r="D712" s="8"/>
      <c r="E712" s="8"/>
      <c r="F712" s="1"/>
      <c r="T712" s="74"/>
      <c r="AA712" s="1"/>
      <c r="AH712" s="1"/>
      <c r="AO712" s="1"/>
    </row>
    <row r="713" ht="14.25" customHeight="1">
      <c r="B713" s="8"/>
      <c r="C713" s="8"/>
      <c r="D713" s="8"/>
      <c r="E713" s="8"/>
      <c r="F713" s="1"/>
      <c r="T713" s="74"/>
      <c r="AA713" s="1"/>
      <c r="AH713" s="1"/>
      <c r="AO713" s="1"/>
    </row>
    <row r="714" ht="14.25" customHeight="1">
      <c r="B714" s="8"/>
      <c r="C714" s="8"/>
      <c r="D714" s="8"/>
      <c r="E714" s="8"/>
      <c r="F714" s="1"/>
      <c r="T714" s="74"/>
      <c r="AA714" s="1"/>
      <c r="AH714" s="1"/>
      <c r="AO714" s="1"/>
    </row>
    <row r="715" ht="14.25" customHeight="1">
      <c r="B715" s="8"/>
      <c r="C715" s="8"/>
      <c r="D715" s="8"/>
      <c r="E715" s="8"/>
      <c r="F715" s="1"/>
      <c r="T715" s="74"/>
      <c r="AA715" s="1"/>
      <c r="AH715" s="1"/>
      <c r="AO715" s="1"/>
    </row>
    <row r="716" ht="14.25" customHeight="1">
      <c r="B716" s="8"/>
      <c r="C716" s="8"/>
      <c r="D716" s="8"/>
      <c r="E716" s="8"/>
      <c r="F716" s="1"/>
      <c r="T716" s="74"/>
      <c r="AA716" s="1"/>
      <c r="AH716" s="1"/>
      <c r="AO716" s="1"/>
    </row>
    <row r="717" ht="14.25" customHeight="1">
      <c r="B717" s="8"/>
      <c r="C717" s="8"/>
      <c r="D717" s="8"/>
      <c r="E717" s="8"/>
      <c r="F717" s="1"/>
      <c r="T717" s="74"/>
      <c r="AA717" s="1"/>
      <c r="AH717" s="1"/>
      <c r="AO717" s="1"/>
    </row>
    <row r="718" ht="14.25" customHeight="1">
      <c r="B718" s="8"/>
      <c r="C718" s="8"/>
      <c r="D718" s="8"/>
      <c r="E718" s="8"/>
      <c r="F718" s="1"/>
      <c r="T718" s="74"/>
      <c r="AA718" s="1"/>
      <c r="AH718" s="1"/>
      <c r="AO718" s="1"/>
    </row>
    <row r="719" ht="14.25" customHeight="1">
      <c r="B719" s="8"/>
      <c r="C719" s="8"/>
      <c r="D719" s="8"/>
      <c r="E719" s="8"/>
      <c r="F719" s="1"/>
      <c r="T719" s="74"/>
      <c r="AA719" s="1"/>
      <c r="AH719" s="1"/>
      <c r="AO719" s="1"/>
    </row>
    <row r="720" ht="14.25" customHeight="1">
      <c r="B720" s="8"/>
      <c r="C720" s="8"/>
      <c r="D720" s="8"/>
      <c r="E720" s="8"/>
      <c r="F720" s="1"/>
      <c r="T720" s="74"/>
      <c r="AA720" s="1"/>
      <c r="AH720" s="1"/>
      <c r="AO720" s="1"/>
    </row>
    <row r="721" ht="14.25" customHeight="1">
      <c r="B721" s="8"/>
      <c r="C721" s="8"/>
      <c r="D721" s="8"/>
      <c r="E721" s="8"/>
      <c r="F721" s="1"/>
      <c r="T721" s="74"/>
      <c r="AA721" s="1"/>
      <c r="AH721" s="1"/>
      <c r="AO721" s="1"/>
    </row>
    <row r="722" ht="14.25" customHeight="1">
      <c r="B722" s="8"/>
      <c r="C722" s="8"/>
      <c r="D722" s="8"/>
      <c r="E722" s="8"/>
      <c r="F722" s="1"/>
      <c r="T722" s="74"/>
      <c r="AA722" s="1"/>
      <c r="AH722" s="1"/>
      <c r="AO722" s="1"/>
    </row>
    <row r="723" ht="14.25" customHeight="1">
      <c r="B723" s="8"/>
      <c r="C723" s="8"/>
      <c r="D723" s="8"/>
      <c r="E723" s="8"/>
      <c r="F723" s="1"/>
      <c r="T723" s="74"/>
      <c r="AA723" s="1"/>
      <c r="AH723" s="1"/>
      <c r="AO723" s="1"/>
    </row>
    <row r="724" ht="14.25" customHeight="1">
      <c r="B724" s="8"/>
      <c r="C724" s="8"/>
      <c r="D724" s="8"/>
      <c r="E724" s="8"/>
      <c r="F724" s="1"/>
      <c r="T724" s="74"/>
      <c r="AA724" s="1"/>
      <c r="AH724" s="1"/>
      <c r="AO724" s="1"/>
    </row>
    <row r="725" ht="14.25" customHeight="1">
      <c r="B725" s="8"/>
      <c r="C725" s="8"/>
      <c r="D725" s="8"/>
      <c r="E725" s="8"/>
      <c r="F725" s="1"/>
      <c r="T725" s="74"/>
      <c r="AA725" s="1"/>
      <c r="AH725" s="1"/>
      <c r="AO725" s="1"/>
    </row>
    <row r="726" ht="14.25" customHeight="1">
      <c r="B726" s="8"/>
      <c r="C726" s="8"/>
      <c r="D726" s="8"/>
      <c r="E726" s="8"/>
      <c r="F726" s="1"/>
      <c r="T726" s="74"/>
      <c r="AA726" s="1"/>
      <c r="AH726" s="1"/>
      <c r="AO726" s="1"/>
    </row>
    <row r="727" ht="14.25" customHeight="1">
      <c r="B727" s="8"/>
      <c r="C727" s="8"/>
      <c r="D727" s="8"/>
      <c r="E727" s="8"/>
      <c r="F727" s="1"/>
      <c r="T727" s="74"/>
      <c r="AA727" s="1"/>
      <c r="AH727" s="1"/>
      <c r="AO727" s="1"/>
    </row>
    <row r="728" ht="14.25" customHeight="1">
      <c r="B728" s="8"/>
      <c r="C728" s="8"/>
      <c r="D728" s="8"/>
      <c r="E728" s="8"/>
      <c r="F728" s="1"/>
      <c r="T728" s="74"/>
      <c r="AA728" s="1"/>
      <c r="AH728" s="1"/>
      <c r="AO728" s="1"/>
    </row>
    <row r="729" ht="14.25" customHeight="1">
      <c r="B729" s="8"/>
      <c r="C729" s="8"/>
      <c r="D729" s="8"/>
      <c r="E729" s="8"/>
      <c r="F729" s="1"/>
      <c r="T729" s="74"/>
      <c r="AA729" s="1"/>
      <c r="AH729" s="1"/>
      <c r="AO729" s="1"/>
    </row>
    <row r="730" ht="14.25" customHeight="1">
      <c r="B730" s="8"/>
      <c r="C730" s="8"/>
      <c r="D730" s="8"/>
      <c r="E730" s="8"/>
      <c r="F730" s="1"/>
      <c r="T730" s="74"/>
      <c r="AA730" s="1"/>
      <c r="AH730" s="1"/>
      <c r="AO730" s="1"/>
    </row>
    <row r="731" ht="14.25" customHeight="1">
      <c r="B731" s="8"/>
      <c r="C731" s="8"/>
      <c r="D731" s="8"/>
      <c r="E731" s="8"/>
      <c r="F731" s="1"/>
      <c r="T731" s="74"/>
      <c r="AA731" s="1"/>
      <c r="AH731" s="1"/>
      <c r="AO731" s="1"/>
    </row>
    <row r="732" ht="14.25" customHeight="1">
      <c r="B732" s="8"/>
      <c r="C732" s="8"/>
      <c r="D732" s="8"/>
      <c r="E732" s="8"/>
      <c r="F732" s="1"/>
      <c r="T732" s="74"/>
      <c r="AA732" s="1"/>
      <c r="AH732" s="1"/>
      <c r="AO732" s="1"/>
    </row>
    <row r="733" ht="14.25" customHeight="1">
      <c r="B733" s="8"/>
      <c r="C733" s="8"/>
      <c r="D733" s="8"/>
      <c r="E733" s="8"/>
      <c r="F733" s="1"/>
      <c r="T733" s="74"/>
      <c r="AA733" s="1"/>
      <c r="AH733" s="1"/>
      <c r="AO733" s="1"/>
    </row>
    <row r="734" ht="14.25" customHeight="1">
      <c r="B734" s="8"/>
      <c r="C734" s="8"/>
      <c r="D734" s="8"/>
      <c r="E734" s="8"/>
      <c r="F734" s="1"/>
      <c r="T734" s="74"/>
      <c r="AA734" s="1"/>
      <c r="AH734" s="1"/>
      <c r="AO734" s="1"/>
    </row>
    <row r="735" ht="14.25" customHeight="1">
      <c r="B735" s="8"/>
      <c r="C735" s="8"/>
      <c r="D735" s="8"/>
      <c r="E735" s="8"/>
      <c r="F735" s="1"/>
      <c r="T735" s="74"/>
      <c r="AA735" s="1"/>
      <c r="AH735" s="1"/>
      <c r="AO735" s="1"/>
    </row>
    <row r="736" ht="14.25" customHeight="1">
      <c r="B736" s="8"/>
      <c r="C736" s="8"/>
      <c r="D736" s="8"/>
      <c r="E736" s="8"/>
      <c r="F736" s="1"/>
      <c r="T736" s="74"/>
      <c r="AA736" s="1"/>
      <c r="AH736" s="1"/>
      <c r="AO736" s="1"/>
    </row>
    <row r="737" ht="14.25" customHeight="1">
      <c r="B737" s="8"/>
      <c r="C737" s="8"/>
      <c r="D737" s="8"/>
      <c r="E737" s="8"/>
      <c r="F737" s="1"/>
      <c r="T737" s="74"/>
      <c r="AA737" s="1"/>
      <c r="AH737" s="1"/>
      <c r="AO737" s="1"/>
    </row>
    <row r="738" ht="14.25" customHeight="1">
      <c r="B738" s="8"/>
      <c r="C738" s="8"/>
      <c r="D738" s="8"/>
      <c r="E738" s="8"/>
      <c r="F738" s="1"/>
      <c r="T738" s="74"/>
      <c r="AA738" s="1"/>
      <c r="AH738" s="1"/>
      <c r="AO738" s="1"/>
    </row>
    <row r="739" ht="14.25" customHeight="1">
      <c r="B739" s="8"/>
      <c r="C739" s="8"/>
      <c r="D739" s="8"/>
      <c r="E739" s="8"/>
      <c r="F739" s="1"/>
      <c r="T739" s="74"/>
      <c r="AA739" s="1"/>
      <c r="AH739" s="1"/>
      <c r="AO739" s="1"/>
    </row>
    <row r="740" ht="14.25" customHeight="1">
      <c r="B740" s="8"/>
      <c r="C740" s="8"/>
      <c r="D740" s="8"/>
      <c r="E740" s="8"/>
      <c r="F740" s="1"/>
      <c r="T740" s="74"/>
      <c r="AA740" s="1"/>
      <c r="AH740" s="1"/>
      <c r="AO740" s="1"/>
    </row>
    <row r="741" ht="14.25" customHeight="1">
      <c r="B741" s="8"/>
      <c r="C741" s="8"/>
      <c r="D741" s="8"/>
      <c r="E741" s="8"/>
      <c r="F741" s="1"/>
      <c r="T741" s="74"/>
      <c r="AA741" s="1"/>
      <c r="AH741" s="1"/>
      <c r="AO741" s="1"/>
    </row>
    <row r="742" ht="14.25" customHeight="1">
      <c r="B742" s="8"/>
      <c r="C742" s="8"/>
      <c r="D742" s="8"/>
      <c r="E742" s="8"/>
      <c r="F742" s="1"/>
      <c r="T742" s="74"/>
      <c r="AA742" s="1"/>
      <c r="AH742" s="1"/>
      <c r="AO742" s="1"/>
    </row>
    <row r="743" ht="14.25" customHeight="1">
      <c r="B743" s="8"/>
      <c r="C743" s="8"/>
      <c r="D743" s="8"/>
      <c r="E743" s="8"/>
      <c r="F743" s="1"/>
      <c r="T743" s="74"/>
      <c r="AA743" s="1"/>
      <c r="AH743" s="1"/>
      <c r="AO743" s="1"/>
    </row>
    <row r="744" ht="14.25" customHeight="1">
      <c r="B744" s="8"/>
      <c r="C744" s="8"/>
      <c r="D744" s="8"/>
      <c r="E744" s="8"/>
      <c r="F744" s="1"/>
      <c r="T744" s="74"/>
      <c r="AA744" s="1"/>
      <c r="AH744" s="1"/>
      <c r="AO744" s="1"/>
    </row>
    <row r="745" ht="14.25" customHeight="1">
      <c r="B745" s="8"/>
      <c r="C745" s="8"/>
      <c r="D745" s="8"/>
      <c r="E745" s="8"/>
      <c r="F745" s="1"/>
      <c r="T745" s="74"/>
      <c r="AA745" s="1"/>
      <c r="AH745" s="1"/>
      <c r="AO745" s="1"/>
    </row>
    <row r="746" ht="14.25" customHeight="1">
      <c r="B746" s="8"/>
      <c r="C746" s="8"/>
      <c r="D746" s="8"/>
      <c r="E746" s="8"/>
      <c r="F746" s="1"/>
      <c r="T746" s="74"/>
      <c r="AA746" s="1"/>
      <c r="AH746" s="1"/>
      <c r="AO746" s="1"/>
    </row>
    <row r="747" ht="14.25" customHeight="1">
      <c r="B747" s="8"/>
      <c r="C747" s="8"/>
      <c r="D747" s="8"/>
      <c r="E747" s="8"/>
      <c r="F747" s="1"/>
      <c r="T747" s="74"/>
      <c r="AA747" s="1"/>
      <c r="AH747" s="1"/>
      <c r="AO747" s="1"/>
    </row>
    <row r="748" ht="14.25" customHeight="1">
      <c r="B748" s="8"/>
      <c r="C748" s="8"/>
      <c r="D748" s="8"/>
      <c r="E748" s="8"/>
      <c r="F748" s="1"/>
      <c r="T748" s="74"/>
      <c r="AA748" s="1"/>
      <c r="AH748" s="1"/>
      <c r="AO748" s="1"/>
    </row>
    <row r="749" ht="14.25" customHeight="1">
      <c r="B749" s="8"/>
      <c r="C749" s="8"/>
      <c r="D749" s="8"/>
      <c r="E749" s="8"/>
      <c r="F749" s="1"/>
      <c r="T749" s="74"/>
      <c r="AA749" s="1"/>
      <c r="AH749" s="1"/>
      <c r="AO749" s="1"/>
    </row>
    <row r="750" ht="14.25" customHeight="1">
      <c r="B750" s="8"/>
      <c r="C750" s="8"/>
      <c r="D750" s="8"/>
      <c r="E750" s="8"/>
      <c r="F750" s="1"/>
      <c r="T750" s="74"/>
      <c r="AA750" s="1"/>
      <c r="AH750" s="1"/>
      <c r="AO750" s="1"/>
    </row>
    <row r="751" ht="14.25" customHeight="1">
      <c r="B751" s="8"/>
      <c r="C751" s="8"/>
      <c r="D751" s="8"/>
      <c r="E751" s="8"/>
      <c r="F751" s="1"/>
      <c r="T751" s="74"/>
      <c r="AA751" s="1"/>
      <c r="AH751" s="1"/>
      <c r="AO751" s="1"/>
    </row>
    <row r="752" ht="14.25" customHeight="1">
      <c r="B752" s="8"/>
      <c r="C752" s="8"/>
      <c r="D752" s="8"/>
      <c r="E752" s="8"/>
      <c r="F752" s="1"/>
      <c r="T752" s="74"/>
      <c r="AA752" s="1"/>
      <c r="AH752" s="1"/>
      <c r="AO752" s="1"/>
    </row>
    <row r="753" ht="14.25" customHeight="1">
      <c r="B753" s="8"/>
      <c r="C753" s="8"/>
      <c r="D753" s="8"/>
      <c r="E753" s="8"/>
      <c r="F753" s="1"/>
      <c r="T753" s="74"/>
      <c r="AA753" s="1"/>
      <c r="AH753" s="1"/>
      <c r="AO753" s="1"/>
    </row>
    <row r="754" ht="14.25" customHeight="1">
      <c r="B754" s="8"/>
      <c r="C754" s="8"/>
      <c r="D754" s="8"/>
      <c r="E754" s="8"/>
      <c r="F754" s="1"/>
      <c r="T754" s="74"/>
      <c r="AA754" s="1"/>
      <c r="AH754" s="1"/>
      <c r="AO754" s="1"/>
    </row>
    <row r="755" ht="14.25" customHeight="1">
      <c r="B755" s="8"/>
      <c r="C755" s="8"/>
      <c r="D755" s="8"/>
      <c r="E755" s="8"/>
      <c r="F755" s="1"/>
      <c r="T755" s="74"/>
      <c r="AA755" s="1"/>
      <c r="AH755" s="1"/>
      <c r="AO755" s="1"/>
    </row>
    <row r="756" ht="14.25" customHeight="1">
      <c r="B756" s="8"/>
      <c r="C756" s="8"/>
      <c r="D756" s="8"/>
      <c r="E756" s="8"/>
      <c r="F756" s="1"/>
      <c r="T756" s="74"/>
      <c r="AA756" s="1"/>
      <c r="AH756" s="1"/>
      <c r="AO756" s="1"/>
    </row>
    <row r="757" ht="14.25" customHeight="1">
      <c r="B757" s="8"/>
      <c r="C757" s="8"/>
      <c r="D757" s="8"/>
      <c r="E757" s="8"/>
      <c r="F757" s="1"/>
      <c r="T757" s="74"/>
      <c r="AA757" s="1"/>
      <c r="AH757" s="1"/>
      <c r="AO757" s="1"/>
    </row>
    <row r="758" ht="14.25" customHeight="1">
      <c r="B758" s="8"/>
      <c r="C758" s="8"/>
      <c r="D758" s="8"/>
      <c r="E758" s="8"/>
      <c r="F758" s="1"/>
      <c r="T758" s="74"/>
      <c r="AA758" s="1"/>
      <c r="AH758" s="1"/>
      <c r="AO758" s="1"/>
    </row>
    <row r="759" ht="14.25" customHeight="1">
      <c r="B759" s="8"/>
      <c r="C759" s="8"/>
      <c r="D759" s="8"/>
      <c r="E759" s="8"/>
      <c r="F759" s="1"/>
      <c r="T759" s="74"/>
      <c r="AA759" s="1"/>
      <c r="AH759" s="1"/>
      <c r="AO759" s="1"/>
    </row>
    <row r="760" ht="14.25" customHeight="1">
      <c r="B760" s="8"/>
      <c r="C760" s="8"/>
      <c r="D760" s="8"/>
      <c r="E760" s="8"/>
      <c r="F760" s="1"/>
      <c r="T760" s="74"/>
      <c r="AA760" s="1"/>
      <c r="AH760" s="1"/>
      <c r="AO760" s="1"/>
    </row>
    <row r="761" ht="14.25" customHeight="1">
      <c r="B761" s="8"/>
      <c r="C761" s="8"/>
      <c r="D761" s="8"/>
      <c r="E761" s="8"/>
      <c r="F761" s="1"/>
      <c r="T761" s="74"/>
      <c r="AA761" s="1"/>
      <c r="AH761" s="1"/>
      <c r="AO761" s="1"/>
    </row>
    <row r="762" ht="14.25" customHeight="1">
      <c r="B762" s="8"/>
      <c r="C762" s="8"/>
      <c r="D762" s="8"/>
      <c r="E762" s="8"/>
      <c r="F762" s="1"/>
      <c r="T762" s="74"/>
      <c r="AA762" s="1"/>
      <c r="AH762" s="1"/>
      <c r="AO762" s="1"/>
    </row>
    <row r="763" ht="14.25" customHeight="1">
      <c r="B763" s="8"/>
      <c r="C763" s="8"/>
      <c r="D763" s="8"/>
      <c r="E763" s="8"/>
      <c r="F763" s="1"/>
      <c r="T763" s="74"/>
      <c r="AA763" s="1"/>
      <c r="AH763" s="1"/>
      <c r="AO763" s="1"/>
    </row>
    <row r="764" ht="14.25" customHeight="1">
      <c r="B764" s="8"/>
      <c r="C764" s="8"/>
      <c r="D764" s="8"/>
      <c r="E764" s="8"/>
      <c r="F764" s="1"/>
      <c r="T764" s="74"/>
      <c r="AA764" s="1"/>
      <c r="AH764" s="1"/>
      <c r="AO764" s="1"/>
    </row>
    <row r="765" ht="14.25" customHeight="1">
      <c r="B765" s="8"/>
      <c r="C765" s="8"/>
      <c r="D765" s="8"/>
      <c r="E765" s="8"/>
      <c r="F765" s="1"/>
      <c r="T765" s="74"/>
      <c r="AA765" s="1"/>
      <c r="AH765" s="1"/>
      <c r="AO765" s="1"/>
    </row>
    <row r="766" ht="14.25" customHeight="1">
      <c r="B766" s="8"/>
      <c r="C766" s="8"/>
      <c r="D766" s="8"/>
      <c r="E766" s="8"/>
      <c r="F766" s="1"/>
      <c r="T766" s="74"/>
      <c r="AA766" s="1"/>
      <c r="AH766" s="1"/>
      <c r="AO766" s="1"/>
    </row>
    <row r="767" ht="14.25" customHeight="1">
      <c r="B767" s="8"/>
      <c r="C767" s="8"/>
      <c r="D767" s="8"/>
      <c r="E767" s="8"/>
      <c r="F767" s="1"/>
      <c r="T767" s="74"/>
      <c r="AA767" s="1"/>
      <c r="AH767" s="1"/>
      <c r="AO767" s="1"/>
    </row>
    <row r="768" ht="14.25" customHeight="1">
      <c r="B768" s="8"/>
      <c r="C768" s="8"/>
      <c r="D768" s="8"/>
      <c r="E768" s="8"/>
      <c r="F768" s="1"/>
      <c r="T768" s="74"/>
      <c r="AA768" s="1"/>
      <c r="AH768" s="1"/>
      <c r="AO768" s="1"/>
    </row>
    <row r="769" ht="14.25" customHeight="1">
      <c r="B769" s="8"/>
      <c r="C769" s="8"/>
      <c r="D769" s="8"/>
      <c r="E769" s="8"/>
      <c r="F769" s="1"/>
      <c r="T769" s="74"/>
      <c r="AA769" s="1"/>
      <c r="AH769" s="1"/>
      <c r="AO769" s="1"/>
    </row>
    <row r="770" ht="14.25" customHeight="1">
      <c r="B770" s="8"/>
      <c r="C770" s="8"/>
      <c r="D770" s="8"/>
      <c r="E770" s="8"/>
      <c r="F770" s="1"/>
      <c r="T770" s="74"/>
      <c r="AA770" s="1"/>
      <c r="AH770" s="1"/>
      <c r="AO770" s="1"/>
    </row>
    <row r="771" ht="14.25" customHeight="1">
      <c r="B771" s="8"/>
      <c r="C771" s="8"/>
      <c r="D771" s="8"/>
      <c r="E771" s="8"/>
      <c r="F771" s="1"/>
      <c r="T771" s="74"/>
      <c r="AA771" s="1"/>
      <c r="AH771" s="1"/>
      <c r="AO771" s="1"/>
    </row>
    <row r="772" ht="14.25" customHeight="1">
      <c r="B772" s="8"/>
      <c r="C772" s="8"/>
      <c r="D772" s="8"/>
      <c r="E772" s="8"/>
      <c r="F772" s="1"/>
      <c r="T772" s="74"/>
      <c r="AA772" s="1"/>
      <c r="AH772" s="1"/>
      <c r="AO772" s="1"/>
    </row>
    <row r="773" ht="14.25" customHeight="1">
      <c r="B773" s="8"/>
      <c r="C773" s="8"/>
      <c r="D773" s="8"/>
      <c r="E773" s="8"/>
      <c r="F773" s="1"/>
      <c r="T773" s="74"/>
      <c r="AA773" s="1"/>
      <c r="AH773" s="1"/>
      <c r="AO773" s="1"/>
    </row>
    <row r="774" ht="14.25" customHeight="1">
      <c r="B774" s="8"/>
      <c r="C774" s="8"/>
      <c r="D774" s="8"/>
      <c r="E774" s="8"/>
      <c r="F774" s="1"/>
      <c r="T774" s="74"/>
      <c r="AA774" s="1"/>
      <c r="AH774" s="1"/>
      <c r="AO774" s="1"/>
    </row>
    <row r="775" ht="14.25" customHeight="1">
      <c r="B775" s="8"/>
      <c r="C775" s="8"/>
      <c r="D775" s="8"/>
      <c r="E775" s="8"/>
      <c r="F775" s="1"/>
      <c r="T775" s="74"/>
      <c r="AA775" s="1"/>
      <c r="AH775" s="1"/>
      <c r="AO775" s="1"/>
    </row>
    <row r="776" ht="14.25" customHeight="1">
      <c r="B776" s="8"/>
      <c r="C776" s="8"/>
      <c r="D776" s="8"/>
      <c r="E776" s="8"/>
      <c r="F776" s="1"/>
      <c r="T776" s="74"/>
      <c r="AA776" s="1"/>
      <c r="AH776" s="1"/>
      <c r="AO776" s="1"/>
    </row>
    <row r="777" ht="14.25" customHeight="1">
      <c r="B777" s="8"/>
      <c r="C777" s="8"/>
      <c r="D777" s="8"/>
      <c r="E777" s="8"/>
      <c r="F777" s="1"/>
      <c r="T777" s="74"/>
      <c r="AA777" s="1"/>
      <c r="AH777" s="1"/>
      <c r="AO777" s="1"/>
    </row>
    <row r="778" ht="14.25" customHeight="1">
      <c r="B778" s="8"/>
      <c r="C778" s="8"/>
      <c r="D778" s="8"/>
      <c r="E778" s="8"/>
      <c r="F778" s="1"/>
      <c r="T778" s="74"/>
      <c r="AA778" s="1"/>
      <c r="AH778" s="1"/>
      <c r="AO778" s="1"/>
    </row>
    <row r="779" ht="14.25" customHeight="1">
      <c r="B779" s="8"/>
      <c r="C779" s="8"/>
      <c r="D779" s="8"/>
      <c r="E779" s="8"/>
      <c r="F779" s="1"/>
      <c r="T779" s="74"/>
      <c r="AA779" s="1"/>
      <c r="AH779" s="1"/>
      <c r="AO779" s="1"/>
    </row>
    <row r="780" ht="14.25" customHeight="1">
      <c r="B780" s="8"/>
      <c r="C780" s="8"/>
      <c r="D780" s="8"/>
      <c r="E780" s="8"/>
      <c r="F780" s="1"/>
      <c r="T780" s="74"/>
      <c r="AA780" s="1"/>
      <c r="AH780" s="1"/>
      <c r="AO780" s="1"/>
    </row>
    <row r="781" ht="14.25" customHeight="1">
      <c r="B781" s="8"/>
      <c r="C781" s="8"/>
      <c r="D781" s="8"/>
      <c r="E781" s="8"/>
      <c r="F781" s="1"/>
      <c r="T781" s="74"/>
      <c r="AA781" s="1"/>
      <c r="AH781" s="1"/>
      <c r="AO781" s="1"/>
    </row>
    <row r="782" ht="14.25" customHeight="1">
      <c r="B782" s="8"/>
      <c r="C782" s="8"/>
      <c r="D782" s="8"/>
      <c r="E782" s="8"/>
      <c r="F782" s="1"/>
      <c r="T782" s="74"/>
      <c r="AA782" s="1"/>
      <c r="AH782" s="1"/>
      <c r="AO782" s="1"/>
    </row>
    <row r="783" ht="14.25" customHeight="1">
      <c r="B783" s="8"/>
      <c r="C783" s="8"/>
      <c r="D783" s="8"/>
      <c r="E783" s="8"/>
      <c r="F783" s="1"/>
      <c r="T783" s="74"/>
      <c r="AA783" s="1"/>
      <c r="AH783" s="1"/>
      <c r="AO783" s="1"/>
    </row>
    <row r="784" ht="14.25" customHeight="1">
      <c r="B784" s="8"/>
      <c r="C784" s="8"/>
      <c r="D784" s="8"/>
      <c r="E784" s="8"/>
      <c r="F784" s="1"/>
      <c r="T784" s="74"/>
      <c r="AA784" s="1"/>
      <c r="AH784" s="1"/>
      <c r="AO784" s="1"/>
    </row>
    <row r="785" ht="14.25" customHeight="1">
      <c r="B785" s="8"/>
      <c r="C785" s="8"/>
      <c r="D785" s="8"/>
      <c r="E785" s="8"/>
      <c r="F785" s="1"/>
      <c r="T785" s="74"/>
      <c r="AA785" s="1"/>
      <c r="AH785" s="1"/>
      <c r="AO785" s="1"/>
    </row>
    <row r="786" ht="14.25" customHeight="1">
      <c r="B786" s="8"/>
      <c r="C786" s="8"/>
      <c r="D786" s="8"/>
      <c r="E786" s="8"/>
      <c r="F786" s="1"/>
      <c r="T786" s="74"/>
      <c r="AA786" s="1"/>
      <c r="AH786" s="1"/>
      <c r="AO786" s="1"/>
    </row>
    <row r="787" ht="14.25" customHeight="1">
      <c r="B787" s="8"/>
      <c r="C787" s="8"/>
      <c r="D787" s="8"/>
      <c r="E787" s="8"/>
      <c r="F787" s="1"/>
      <c r="T787" s="74"/>
      <c r="AA787" s="1"/>
      <c r="AH787" s="1"/>
      <c r="AO787" s="1"/>
    </row>
    <row r="788" ht="14.25" customHeight="1">
      <c r="B788" s="8"/>
      <c r="C788" s="8"/>
      <c r="D788" s="8"/>
      <c r="E788" s="8"/>
      <c r="F788" s="1"/>
      <c r="T788" s="74"/>
      <c r="AA788" s="1"/>
      <c r="AH788" s="1"/>
      <c r="AO788" s="1"/>
    </row>
    <row r="789" ht="14.25" customHeight="1">
      <c r="B789" s="8"/>
      <c r="C789" s="8"/>
      <c r="D789" s="8"/>
      <c r="E789" s="8"/>
      <c r="F789" s="1"/>
      <c r="T789" s="74"/>
      <c r="AA789" s="1"/>
      <c r="AH789" s="1"/>
      <c r="AO789" s="1"/>
    </row>
    <row r="790" ht="14.25" customHeight="1">
      <c r="B790" s="8"/>
      <c r="C790" s="8"/>
      <c r="D790" s="8"/>
      <c r="E790" s="8"/>
      <c r="F790" s="1"/>
      <c r="T790" s="74"/>
      <c r="AA790" s="1"/>
      <c r="AH790" s="1"/>
      <c r="AO790" s="1"/>
    </row>
    <row r="791" ht="14.25" customHeight="1">
      <c r="B791" s="8"/>
      <c r="C791" s="8"/>
      <c r="D791" s="8"/>
      <c r="E791" s="8"/>
      <c r="F791" s="1"/>
      <c r="T791" s="74"/>
      <c r="AA791" s="1"/>
      <c r="AH791" s="1"/>
      <c r="AO791" s="1"/>
    </row>
    <row r="792" ht="14.25" customHeight="1">
      <c r="B792" s="8"/>
      <c r="C792" s="8"/>
      <c r="D792" s="8"/>
      <c r="E792" s="8"/>
      <c r="F792" s="1"/>
      <c r="T792" s="74"/>
      <c r="AA792" s="1"/>
      <c r="AH792" s="1"/>
      <c r="AO792" s="1"/>
    </row>
    <row r="793" ht="14.25" customHeight="1">
      <c r="B793" s="8"/>
      <c r="C793" s="8"/>
      <c r="D793" s="8"/>
      <c r="E793" s="8"/>
      <c r="F793" s="1"/>
      <c r="T793" s="74"/>
      <c r="AA793" s="1"/>
      <c r="AH793" s="1"/>
      <c r="AO793" s="1"/>
    </row>
    <row r="794" ht="14.25" customHeight="1">
      <c r="B794" s="8"/>
      <c r="C794" s="8"/>
      <c r="D794" s="8"/>
      <c r="E794" s="8"/>
      <c r="F794" s="1"/>
      <c r="T794" s="74"/>
      <c r="AA794" s="1"/>
      <c r="AH794" s="1"/>
      <c r="AO794" s="1"/>
    </row>
    <row r="795" ht="14.25" customHeight="1">
      <c r="B795" s="8"/>
      <c r="C795" s="8"/>
      <c r="D795" s="8"/>
      <c r="E795" s="8"/>
      <c r="F795" s="1"/>
      <c r="T795" s="74"/>
      <c r="AA795" s="1"/>
      <c r="AH795" s="1"/>
      <c r="AO795" s="1"/>
    </row>
    <row r="796" ht="14.25" customHeight="1">
      <c r="B796" s="8"/>
      <c r="C796" s="8"/>
      <c r="D796" s="8"/>
      <c r="E796" s="8"/>
      <c r="F796" s="1"/>
      <c r="T796" s="74"/>
      <c r="AA796" s="1"/>
      <c r="AH796" s="1"/>
      <c r="AO796" s="1"/>
    </row>
    <row r="797" ht="14.25" customHeight="1">
      <c r="B797" s="8"/>
      <c r="C797" s="8"/>
      <c r="D797" s="8"/>
      <c r="E797" s="8"/>
      <c r="F797" s="1"/>
      <c r="T797" s="74"/>
      <c r="AA797" s="1"/>
      <c r="AH797" s="1"/>
      <c r="AO797" s="1"/>
    </row>
    <row r="798" ht="14.25" customHeight="1">
      <c r="B798" s="8"/>
      <c r="C798" s="8"/>
      <c r="D798" s="8"/>
      <c r="E798" s="8"/>
      <c r="F798" s="1"/>
      <c r="T798" s="74"/>
      <c r="AA798" s="1"/>
      <c r="AH798" s="1"/>
      <c r="AO798" s="1"/>
    </row>
    <row r="799" ht="14.25" customHeight="1">
      <c r="B799" s="8"/>
      <c r="C799" s="8"/>
      <c r="D799" s="8"/>
      <c r="E799" s="8"/>
      <c r="F799" s="1"/>
      <c r="T799" s="74"/>
      <c r="AA799" s="1"/>
      <c r="AH799" s="1"/>
      <c r="AO799" s="1"/>
    </row>
    <row r="800" ht="14.25" customHeight="1">
      <c r="B800" s="8"/>
      <c r="C800" s="8"/>
      <c r="D800" s="8"/>
      <c r="E800" s="8"/>
      <c r="F800" s="1"/>
      <c r="T800" s="74"/>
      <c r="AA800" s="1"/>
      <c r="AH800" s="1"/>
      <c r="AO800" s="1"/>
    </row>
    <row r="801" ht="14.25" customHeight="1">
      <c r="B801" s="8"/>
      <c r="C801" s="8"/>
      <c r="D801" s="8"/>
      <c r="E801" s="8"/>
      <c r="F801" s="1"/>
      <c r="T801" s="74"/>
      <c r="AA801" s="1"/>
      <c r="AH801" s="1"/>
      <c r="AO801" s="1"/>
    </row>
    <row r="802" ht="14.25" customHeight="1">
      <c r="B802" s="8"/>
      <c r="C802" s="8"/>
      <c r="D802" s="8"/>
      <c r="E802" s="8"/>
      <c r="F802" s="1"/>
      <c r="T802" s="74"/>
      <c r="AA802" s="1"/>
      <c r="AH802" s="1"/>
      <c r="AO802" s="1"/>
    </row>
    <row r="803" ht="14.25" customHeight="1">
      <c r="B803" s="8"/>
      <c r="C803" s="8"/>
      <c r="D803" s="8"/>
      <c r="E803" s="8"/>
      <c r="F803" s="1"/>
      <c r="T803" s="74"/>
      <c r="AA803" s="1"/>
      <c r="AH803" s="1"/>
      <c r="AO803" s="1"/>
    </row>
    <row r="804" ht="14.25" customHeight="1">
      <c r="B804" s="8"/>
      <c r="C804" s="8"/>
      <c r="D804" s="8"/>
      <c r="E804" s="8"/>
      <c r="F804" s="1"/>
      <c r="T804" s="74"/>
      <c r="AA804" s="1"/>
      <c r="AH804" s="1"/>
      <c r="AO804" s="1"/>
    </row>
    <row r="805" ht="14.25" customHeight="1">
      <c r="B805" s="8"/>
      <c r="C805" s="8"/>
      <c r="D805" s="8"/>
      <c r="E805" s="8"/>
      <c r="F805" s="1"/>
      <c r="T805" s="74"/>
      <c r="AA805" s="1"/>
      <c r="AH805" s="1"/>
      <c r="AO805" s="1"/>
    </row>
    <row r="806" ht="14.25" customHeight="1">
      <c r="B806" s="8"/>
      <c r="C806" s="8"/>
      <c r="D806" s="8"/>
      <c r="E806" s="8"/>
      <c r="F806" s="1"/>
      <c r="T806" s="74"/>
      <c r="AA806" s="1"/>
      <c r="AH806" s="1"/>
      <c r="AO806" s="1"/>
    </row>
    <row r="807" ht="14.25" customHeight="1">
      <c r="B807" s="8"/>
      <c r="C807" s="8"/>
      <c r="D807" s="8"/>
      <c r="E807" s="8"/>
      <c r="F807" s="1"/>
      <c r="T807" s="74"/>
      <c r="AA807" s="1"/>
      <c r="AH807" s="1"/>
      <c r="AO807" s="1"/>
    </row>
    <row r="808" ht="14.25" customHeight="1">
      <c r="B808" s="8"/>
      <c r="C808" s="8"/>
      <c r="D808" s="8"/>
      <c r="E808" s="8"/>
      <c r="F808" s="1"/>
      <c r="T808" s="74"/>
      <c r="AA808" s="1"/>
      <c r="AH808" s="1"/>
      <c r="AO808" s="1"/>
    </row>
    <row r="809" ht="14.25" customHeight="1">
      <c r="B809" s="8"/>
      <c r="C809" s="8"/>
      <c r="D809" s="8"/>
      <c r="E809" s="8"/>
      <c r="F809" s="1"/>
      <c r="T809" s="74"/>
      <c r="AA809" s="1"/>
      <c r="AH809" s="1"/>
      <c r="AO809" s="1"/>
    </row>
    <row r="810" ht="14.25" customHeight="1">
      <c r="B810" s="8"/>
      <c r="C810" s="8"/>
      <c r="D810" s="8"/>
      <c r="E810" s="8"/>
      <c r="F810" s="1"/>
      <c r="T810" s="74"/>
      <c r="AA810" s="1"/>
      <c r="AH810" s="1"/>
      <c r="AO810" s="1"/>
    </row>
    <row r="811" ht="14.25" customHeight="1">
      <c r="B811" s="8"/>
      <c r="C811" s="8"/>
      <c r="D811" s="8"/>
      <c r="E811" s="8"/>
      <c r="F811" s="1"/>
      <c r="T811" s="74"/>
      <c r="AA811" s="1"/>
      <c r="AH811" s="1"/>
      <c r="AO811" s="1"/>
    </row>
    <row r="812" ht="14.25" customHeight="1">
      <c r="B812" s="8"/>
      <c r="C812" s="8"/>
      <c r="D812" s="8"/>
      <c r="E812" s="8"/>
      <c r="F812" s="1"/>
      <c r="T812" s="74"/>
      <c r="AA812" s="1"/>
      <c r="AH812" s="1"/>
      <c r="AO812" s="1"/>
    </row>
    <row r="813" ht="14.25" customHeight="1">
      <c r="B813" s="8"/>
      <c r="C813" s="8"/>
      <c r="D813" s="8"/>
      <c r="E813" s="8"/>
      <c r="F813" s="1"/>
      <c r="T813" s="74"/>
      <c r="AA813" s="1"/>
      <c r="AH813" s="1"/>
      <c r="AO813" s="1"/>
    </row>
    <row r="814" ht="14.25" customHeight="1">
      <c r="B814" s="8"/>
      <c r="C814" s="8"/>
      <c r="D814" s="8"/>
      <c r="E814" s="8"/>
      <c r="F814" s="1"/>
      <c r="T814" s="74"/>
      <c r="AA814" s="1"/>
      <c r="AH814" s="1"/>
      <c r="AO814" s="1"/>
    </row>
    <row r="815" ht="14.25" customHeight="1">
      <c r="B815" s="8"/>
      <c r="C815" s="8"/>
      <c r="D815" s="8"/>
      <c r="E815" s="8"/>
      <c r="F815" s="1"/>
      <c r="T815" s="74"/>
      <c r="AA815" s="1"/>
      <c r="AH815" s="1"/>
      <c r="AO815" s="1"/>
    </row>
    <row r="816" ht="14.25" customHeight="1">
      <c r="B816" s="8"/>
      <c r="C816" s="8"/>
      <c r="D816" s="8"/>
      <c r="E816" s="8"/>
      <c r="F816" s="1"/>
      <c r="T816" s="74"/>
      <c r="AA816" s="1"/>
      <c r="AH816" s="1"/>
      <c r="AO816" s="1"/>
    </row>
    <row r="817" ht="14.25" customHeight="1">
      <c r="B817" s="8"/>
      <c r="C817" s="8"/>
      <c r="D817" s="8"/>
      <c r="E817" s="8"/>
      <c r="F817" s="1"/>
      <c r="T817" s="74"/>
      <c r="AA817" s="1"/>
      <c r="AH817" s="1"/>
      <c r="AO817" s="1"/>
    </row>
    <row r="818" ht="14.25" customHeight="1">
      <c r="B818" s="8"/>
      <c r="C818" s="8"/>
      <c r="D818" s="8"/>
      <c r="E818" s="8"/>
      <c r="F818" s="1"/>
      <c r="T818" s="74"/>
      <c r="AA818" s="1"/>
      <c r="AH818" s="1"/>
      <c r="AO818" s="1"/>
    </row>
    <row r="819" ht="14.25" customHeight="1">
      <c r="B819" s="8"/>
      <c r="C819" s="8"/>
      <c r="D819" s="8"/>
      <c r="E819" s="8"/>
      <c r="F819" s="1"/>
      <c r="T819" s="74"/>
      <c r="AA819" s="1"/>
      <c r="AH819" s="1"/>
      <c r="AO819" s="1"/>
    </row>
    <row r="820" ht="14.25" customHeight="1">
      <c r="B820" s="8"/>
      <c r="C820" s="8"/>
      <c r="D820" s="8"/>
      <c r="E820" s="8"/>
      <c r="F820" s="1"/>
      <c r="T820" s="74"/>
      <c r="AA820" s="1"/>
      <c r="AH820" s="1"/>
      <c r="AO820" s="1"/>
    </row>
    <row r="821" ht="14.25" customHeight="1">
      <c r="B821" s="8"/>
      <c r="C821" s="8"/>
      <c r="D821" s="8"/>
      <c r="E821" s="8"/>
      <c r="F821" s="1"/>
      <c r="T821" s="74"/>
      <c r="AA821" s="1"/>
      <c r="AH821" s="1"/>
      <c r="AO821" s="1"/>
    </row>
    <row r="822" ht="14.25" customHeight="1">
      <c r="B822" s="8"/>
      <c r="C822" s="8"/>
      <c r="D822" s="8"/>
      <c r="E822" s="8"/>
      <c r="F822" s="1"/>
      <c r="T822" s="74"/>
      <c r="AA822" s="1"/>
      <c r="AH822" s="1"/>
      <c r="AO822" s="1"/>
    </row>
    <row r="823" ht="14.25" customHeight="1">
      <c r="B823" s="8"/>
      <c r="C823" s="8"/>
      <c r="D823" s="8"/>
      <c r="E823" s="8"/>
      <c r="F823" s="1"/>
      <c r="T823" s="74"/>
      <c r="AA823" s="1"/>
      <c r="AH823" s="1"/>
      <c r="AO823" s="1"/>
    </row>
    <row r="824" ht="14.25" customHeight="1">
      <c r="B824" s="8"/>
      <c r="C824" s="8"/>
      <c r="D824" s="8"/>
      <c r="E824" s="8"/>
      <c r="F824" s="1"/>
      <c r="T824" s="74"/>
      <c r="AA824" s="1"/>
      <c r="AH824" s="1"/>
      <c r="AO824" s="1"/>
    </row>
    <row r="825" ht="14.25" customHeight="1">
      <c r="B825" s="8"/>
      <c r="C825" s="8"/>
      <c r="D825" s="8"/>
      <c r="E825" s="8"/>
      <c r="F825" s="1"/>
      <c r="T825" s="74"/>
      <c r="AA825" s="1"/>
      <c r="AH825" s="1"/>
      <c r="AO825" s="1"/>
    </row>
    <row r="826" ht="14.25" customHeight="1">
      <c r="B826" s="8"/>
      <c r="C826" s="8"/>
      <c r="D826" s="8"/>
      <c r="E826" s="8"/>
      <c r="F826" s="1"/>
      <c r="T826" s="74"/>
      <c r="AA826" s="1"/>
      <c r="AH826" s="1"/>
      <c r="AO826" s="1"/>
    </row>
    <row r="827" ht="14.25" customHeight="1">
      <c r="B827" s="8"/>
      <c r="C827" s="8"/>
      <c r="D827" s="8"/>
      <c r="E827" s="8"/>
      <c r="F827" s="1"/>
      <c r="T827" s="74"/>
      <c r="AA827" s="1"/>
      <c r="AH827" s="1"/>
      <c r="AO827" s="1"/>
    </row>
    <row r="828" ht="14.25" customHeight="1">
      <c r="B828" s="8"/>
      <c r="C828" s="8"/>
      <c r="D828" s="8"/>
      <c r="E828" s="8"/>
      <c r="F828" s="1"/>
      <c r="T828" s="74"/>
      <c r="AA828" s="1"/>
      <c r="AH828" s="1"/>
      <c r="AO828" s="1"/>
    </row>
    <row r="829" ht="14.25" customHeight="1">
      <c r="B829" s="8"/>
      <c r="C829" s="8"/>
      <c r="D829" s="8"/>
      <c r="E829" s="8"/>
      <c r="F829" s="1"/>
      <c r="T829" s="74"/>
      <c r="AA829" s="1"/>
      <c r="AH829" s="1"/>
      <c r="AO829" s="1"/>
    </row>
    <row r="830" ht="14.25" customHeight="1">
      <c r="B830" s="8"/>
      <c r="C830" s="8"/>
      <c r="D830" s="8"/>
      <c r="E830" s="8"/>
      <c r="F830" s="1"/>
      <c r="T830" s="74"/>
      <c r="AA830" s="1"/>
      <c r="AH830" s="1"/>
      <c r="AO830" s="1"/>
    </row>
    <row r="831" ht="14.25" customHeight="1">
      <c r="B831" s="8"/>
      <c r="C831" s="8"/>
      <c r="D831" s="8"/>
      <c r="E831" s="8"/>
      <c r="F831" s="1"/>
      <c r="T831" s="74"/>
      <c r="AA831" s="1"/>
      <c r="AH831" s="1"/>
      <c r="AO831" s="1"/>
    </row>
    <row r="832" ht="14.25" customHeight="1">
      <c r="B832" s="8"/>
      <c r="C832" s="8"/>
      <c r="D832" s="8"/>
      <c r="E832" s="8"/>
      <c r="F832" s="1"/>
      <c r="T832" s="74"/>
      <c r="AA832" s="1"/>
      <c r="AH832" s="1"/>
      <c r="AO832" s="1"/>
    </row>
    <row r="833" ht="14.25" customHeight="1">
      <c r="B833" s="8"/>
      <c r="C833" s="8"/>
      <c r="D833" s="8"/>
      <c r="E833" s="8"/>
      <c r="F833" s="1"/>
      <c r="T833" s="74"/>
      <c r="AA833" s="1"/>
      <c r="AH833" s="1"/>
      <c r="AO833" s="1"/>
    </row>
    <row r="834" ht="14.25" customHeight="1">
      <c r="B834" s="8"/>
      <c r="C834" s="8"/>
      <c r="D834" s="8"/>
      <c r="E834" s="8"/>
      <c r="F834" s="1"/>
      <c r="T834" s="74"/>
      <c r="AA834" s="1"/>
      <c r="AH834" s="1"/>
      <c r="AO834" s="1"/>
    </row>
    <row r="835" ht="14.25" customHeight="1">
      <c r="B835" s="8"/>
      <c r="C835" s="8"/>
      <c r="D835" s="8"/>
      <c r="E835" s="8"/>
      <c r="F835" s="1"/>
      <c r="T835" s="74"/>
      <c r="AA835" s="1"/>
      <c r="AH835" s="1"/>
      <c r="AO835" s="1"/>
    </row>
    <row r="836" ht="14.25" customHeight="1">
      <c r="B836" s="8"/>
      <c r="C836" s="8"/>
      <c r="D836" s="8"/>
      <c r="E836" s="8"/>
      <c r="F836" s="1"/>
      <c r="T836" s="74"/>
      <c r="AA836" s="1"/>
      <c r="AH836" s="1"/>
      <c r="AO836" s="1"/>
    </row>
    <row r="837" ht="14.25" customHeight="1">
      <c r="B837" s="8"/>
      <c r="C837" s="8"/>
      <c r="D837" s="8"/>
      <c r="E837" s="8"/>
      <c r="F837" s="1"/>
      <c r="T837" s="74"/>
      <c r="AA837" s="1"/>
      <c r="AH837" s="1"/>
      <c r="AO837" s="1"/>
    </row>
    <row r="838" ht="14.25" customHeight="1">
      <c r="B838" s="8"/>
      <c r="C838" s="8"/>
      <c r="D838" s="8"/>
      <c r="E838" s="8"/>
      <c r="F838" s="1"/>
      <c r="T838" s="74"/>
      <c r="AA838" s="1"/>
      <c r="AH838" s="1"/>
      <c r="AO838" s="1"/>
    </row>
    <row r="839" ht="14.25" customHeight="1">
      <c r="B839" s="8"/>
      <c r="C839" s="8"/>
      <c r="D839" s="8"/>
      <c r="E839" s="8"/>
      <c r="F839" s="1"/>
      <c r="T839" s="74"/>
      <c r="AA839" s="1"/>
      <c r="AH839" s="1"/>
      <c r="AO839" s="1"/>
    </row>
    <row r="840" ht="14.25" customHeight="1">
      <c r="B840" s="8"/>
      <c r="C840" s="8"/>
      <c r="D840" s="8"/>
      <c r="E840" s="8"/>
      <c r="F840" s="1"/>
      <c r="T840" s="74"/>
      <c r="AA840" s="1"/>
      <c r="AH840" s="1"/>
      <c r="AO840" s="1"/>
    </row>
    <row r="841" ht="14.25" customHeight="1">
      <c r="B841" s="8"/>
      <c r="C841" s="8"/>
      <c r="D841" s="8"/>
      <c r="E841" s="8"/>
      <c r="F841" s="1"/>
      <c r="T841" s="74"/>
      <c r="AA841" s="1"/>
      <c r="AH841" s="1"/>
      <c r="AO841" s="1"/>
    </row>
    <row r="842" ht="14.25" customHeight="1">
      <c r="B842" s="8"/>
      <c r="C842" s="8"/>
      <c r="D842" s="8"/>
      <c r="E842" s="8"/>
      <c r="F842" s="1"/>
      <c r="T842" s="74"/>
      <c r="AA842" s="1"/>
      <c r="AH842" s="1"/>
      <c r="AO842" s="1"/>
    </row>
    <row r="843" ht="14.25" customHeight="1">
      <c r="B843" s="8"/>
      <c r="C843" s="8"/>
      <c r="D843" s="8"/>
      <c r="E843" s="8"/>
      <c r="F843" s="1"/>
      <c r="T843" s="74"/>
      <c r="AA843" s="1"/>
      <c r="AH843" s="1"/>
      <c r="AO843" s="1"/>
    </row>
    <row r="844" ht="14.25" customHeight="1">
      <c r="B844" s="8"/>
      <c r="C844" s="8"/>
      <c r="D844" s="8"/>
      <c r="E844" s="8"/>
      <c r="F844" s="1"/>
      <c r="T844" s="74"/>
      <c r="AA844" s="1"/>
      <c r="AH844" s="1"/>
      <c r="AO844" s="1"/>
    </row>
    <row r="845" ht="14.25" customHeight="1">
      <c r="B845" s="8"/>
      <c r="C845" s="8"/>
      <c r="D845" s="8"/>
      <c r="E845" s="8"/>
      <c r="F845" s="1"/>
      <c r="T845" s="74"/>
      <c r="AA845" s="1"/>
      <c r="AH845" s="1"/>
      <c r="AO845" s="1"/>
    </row>
    <row r="846" ht="14.25" customHeight="1">
      <c r="B846" s="8"/>
      <c r="C846" s="8"/>
      <c r="D846" s="8"/>
      <c r="E846" s="8"/>
      <c r="F846" s="1"/>
      <c r="T846" s="74"/>
      <c r="AA846" s="1"/>
      <c r="AH846" s="1"/>
      <c r="AO846" s="1"/>
    </row>
    <row r="847" ht="14.25" customHeight="1">
      <c r="B847" s="8"/>
      <c r="C847" s="8"/>
      <c r="D847" s="8"/>
      <c r="E847" s="8"/>
      <c r="F847" s="1"/>
      <c r="T847" s="74"/>
      <c r="AA847" s="1"/>
      <c r="AH847" s="1"/>
      <c r="AO847" s="1"/>
    </row>
    <row r="848" ht="14.25" customHeight="1">
      <c r="B848" s="8"/>
      <c r="C848" s="8"/>
      <c r="D848" s="8"/>
      <c r="E848" s="8"/>
      <c r="F848" s="1"/>
      <c r="T848" s="74"/>
      <c r="AA848" s="1"/>
      <c r="AH848" s="1"/>
      <c r="AO848" s="1"/>
    </row>
    <row r="849" ht="14.25" customHeight="1">
      <c r="B849" s="8"/>
      <c r="C849" s="8"/>
      <c r="D849" s="8"/>
      <c r="E849" s="8"/>
      <c r="F849" s="1"/>
      <c r="T849" s="74"/>
      <c r="AA849" s="1"/>
      <c r="AH849" s="1"/>
      <c r="AO849" s="1"/>
    </row>
    <row r="850" ht="14.25" customHeight="1">
      <c r="B850" s="8"/>
      <c r="C850" s="8"/>
      <c r="D850" s="8"/>
      <c r="E850" s="8"/>
      <c r="F850" s="1"/>
      <c r="T850" s="74"/>
      <c r="AA850" s="1"/>
      <c r="AH850" s="1"/>
      <c r="AO850" s="1"/>
    </row>
    <row r="851" ht="14.25" customHeight="1">
      <c r="B851" s="8"/>
      <c r="C851" s="8"/>
      <c r="D851" s="8"/>
      <c r="E851" s="8"/>
      <c r="F851" s="1"/>
      <c r="T851" s="74"/>
      <c r="AA851" s="1"/>
      <c r="AH851" s="1"/>
      <c r="AO851" s="1"/>
    </row>
    <row r="852" ht="14.25" customHeight="1">
      <c r="B852" s="8"/>
      <c r="C852" s="8"/>
      <c r="D852" s="8"/>
      <c r="E852" s="8"/>
      <c r="F852" s="1"/>
      <c r="T852" s="74"/>
      <c r="AA852" s="1"/>
      <c r="AH852" s="1"/>
      <c r="AO852" s="1"/>
    </row>
    <row r="853" ht="14.25" customHeight="1">
      <c r="B853" s="8"/>
      <c r="C853" s="8"/>
      <c r="D853" s="8"/>
      <c r="E853" s="8"/>
      <c r="F853" s="1"/>
      <c r="T853" s="74"/>
      <c r="AA853" s="1"/>
      <c r="AH853" s="1"/>
      <c r="AO853" s="1"/>
    </row>
    <row r="854" ht="14.25" customHeight="1">
      <c r="B854" s="8"/>
      <c r="C854" s="8"/>
      <c r="D854" s="8"/>
      <c r="E854" s="8"/>
      <c r="F854" s="1"/>
      <c r="T854" s="74"/>
      <c r="AA854" s="1"/>
      <c r="AH854" s="1"/>
      <c r="AO854" s="1"/>
    </row>
    <row r="855" ht="14.25" customHeight="1">
      <c r="B855" s="8"/>
      <c r="C855" s="8"/>
      <c r="D855" s="8"/>
      <c r="E855" s="8"/>
      <c r="F855" s="1"/>
      <c r="T855" s="74"/>
      <c r="AA855" s="1"/>
      <c r="AH855" s="1"/>
      <c r="AO855" s="1"/>
    </row>
    <row r="856" ht="14.25" customHeight="1">
      <c r="B856" s="8"/>
      <c r="C856" s="8"/>
      <c r="D856" s="8"/>
      <c r="E856" s="8"/>
      <c r="F856" s="1"/>
      <c r="T856" s="74"/>
      <c r="AA856" s="1"/>
      <c r="AH856" s="1"/>
      <c r="AO856" s="1"/>
    </row>
    <row r="857" ht="14.25" customHeight="1">
      <c r="B857" s="8"/>
      <c r="C857" s="8"/>
      <c r="D857" s="8"/>
      <c r="E857" s="8"/>
      <c r="F857" s="1"/>
      <c r="T857" s="74"/>
      <c r="AA857" s="1"/>
      <c r="AH857" s="1"/>
      <c r="AO857" s="1"/>
    </row>
    <row r="858" ht="14.25" customHeight="1">
      <c r="B858" s="8"/>
      <c r="C858" s="8"/>
      <c r="D858" s="8"/>
      <c r="E858" s="8"/>
      <c r="F858" s="1"/>
      <c r="T858" s="74"/>
      <c r="AA858" s="1"/>
      <c r="AH858" s="1"/>
      <c r="AO858" s="1"/>
    </row>
    <row r="859" ht="14.25" customHeight="1">
      <c r="B859" s="8"/>
      <c r="C859" s="8"/>
      <c r="D859" s="8"/>
      <c r="E859" s="8"/>
      <c r="F859" s="1"/>
      <c r="T859" s="74"/>
      <c r="AA859" s="1"/>
      <c r="AH859" s="1"/>
      <c r="AO859" s="1"/>
    </row>
    <row r="860" ht="14.25" customHeight="1">
      <c r="B860" s="8"/>
      <c r="C860" s="8"/>
      <c r="D860" s="8"/>
      <c r="E860" s="8"/>
      <c r="F860" s="1"/>
      <c r="T860" s="74"/>
      <c r="AA860" s="1"/>
      <c r="AH860" s="1"/>
      <c r="AO860" s="1"/>
    </row>
    <row r="861" ht="14.25" customHeight="1">
      <c r="B861" s="8"/>
      <c r="C861" s="8"/>
      <c r="D861" s="8"/>
      <c r="E861" s="8"/>
      <c r="F861" s="1"/>
      <c r="T861" s="74"/>
      <c r="AA861" s="1"/>
      <c r="AH861" s="1"/>
      <c r="AO861" s="1"/>
    </row>
    <row r="862" ht="14.25" customHeight="1">
      <c r="B862" s="8"/>
      <c r="C862" s="8"/>
      <c r="D862" s="8"/>
      <c r="E862" s="8"/>
      <c r="F862" s="1"/>
      <c r="T862" s="74"/>
      <c r="AA862" s="1"/>
      <c r="AH862" s="1"/>
      <c r="AO862" s="1"/>
    </row>
    <row r="863" ht="14.25" customHeight="1">
      <c r="B863" s="8"/>
      <c r="C863" s="8"/>
      <c r="D863" s="8"/>
      <c r="E863" s="8"/>
      <c r="F863" s="1"/>
      <c r="T863" s="74"/>
      <c r="AA863" s="1"/>
      <c r="AH863" s="1"/>
      <c r="AO863" s="1"/>
    </row>
    <row r="864" ht="14.25" customHeight="1">
      <c r="B864" s="8"/>
      <c r="C864" s="8"/>
      <c r="D864" s="8"/>
      <c r="E864" s="8"/>
      <c r="F864" s="1"/>
      <c r="T864" s="74"/>
      <c r="AA864" s="1"/>
      <c r="AH864" s="1"/>
      <c r="AO864" s="1"/>
    </row>
    <row r="865" ht="14.25" customHeight="1">
      <c r="B865" s="8"/>
      <c r="C865" s="8"/>
      <c r="D865" s="8"/>
      <c r="E865" s="8"/>
      <c r="F865" s="1"/>
      <c r="T865" s="74"/>
      <c r="AA865" s="1"/>
      <c r="AH865" s="1"/>
      <c r="AO865" s="1"/>
    </row>
    <row r="866" ht="14.25" customHeight="1">
      <c r="B866" s="8"/>
      <c r="C866" s="8"/>
      <c r="D866" s="8"/>
      <c r="E866" s="8"/>
      <c r="F866" s="1"/>
      <c r="T866" s="74"/>
      <c r="AA866" s="1"/>
      <c r="AH866" s="1"/>
      <c r="AO866" s="1"/>
    </row>
    <row r="867" ht="14.25" customHeight="1">
      <c r="B867" s="8"/>
      <c r="C867" s="8"/>
      <c r="D867" s="8"/>
      <c r="E867" s="8"/>
      <c r="F867" s="1"/>
      <c r="T867" s="74"/>
      <c r="AA867" s="1"/>
      <c r="AH867" s="1"/>
      <c r="AO867" s="1"/>
    </row>
    <row r="868" ht="14.25" customHeight="1">
      <c r="B868" s="8"/>
      <c r="C868" s="8"/>
      <c r="D868" s="8"/>
      <c r="E868" s="8"/>
      <c r="F868" s="1"/>
      <c r="T868" s="74"/>
      <c r="AA868" s="1"/>
      <c r="AH868" s="1"/>
      <c r="AO868" s="1"/>
    </row>
    <row r="869" ht="14.25" customHeight="1">
      <c r="B869" s="8"/>
      <c r="C869" s="8"/>
      <c r="D869" s="8"/>
      <c r="E869" s="8"/>
      <c r="F869" s="1"/>
      <c r="T869" s="74"/>
      <c r="AA869" s="1"/>
      <c r="AH869" s="1"/>
      <c r="AO869" s="1"/>
    </row>
    <row r="870" ht="14.25" customHeight="1">
      <c r="B870" s="8"/>
      <c r="C870" s="8"/>
      <c r="D870" s="8"/>
      <c r="E870" s="8"/>
      <c r="F870" s="1"/>
      <c r="T870" s="74"/>
      <c r="AA870" s="1"/>
      <c r="AH870" s="1"/>
      <c r="AO870" s="1"/>
    </row>
    <row r="871" ht="14.25" customHeight="1">
      <c r="B871" s="8"/>
      <c r="C871" s="8"/>
      <c r="D871" s="8"/>
      <c r="E871" s="8"/>
      <c r="F871" s="1"/>
      <c r="T871" s="74"/>
      <c r="AA871" s="1"/>
      <c r="AH871" s="1"/>
      <c r="AO871" s="1"/>
    </row>
    <row r="872" ht="14.25" customHeight="1">
      <c r="B872" s="8"/>
      <c r="C872" s="8"/>
      <c r="D872" s="8"/>
      <c r="E872" s="8"/>
      <c r="F872" s="1"/>
      <c r="T872" s="74"/>
      <c r="AA872" s="1"/>
      <c r="AH872" s="1"/>
      <c r="AO872" s="1"/>
    </row>
    <row r="873" ht="14.25" customHeight="1">
      <c r="B873" s="8"/>
      <c r="C873" s="8"/>
      <c r="D873" s="8"/>
      <c r="E873" s="8"/>
      <c r="F873" s="1"/>
      <c r="T873" s="74"/>
      <c r="AA873" s="1"/>
      <c r="AH873" s="1"/>
      <c r="AO873" s="1"/>
    </row>
    <row r="874" ht="14.25" customHeight="1">
      <c r="B874" s="8"/>
      <c r="C874" s="8"/>
      <c r="D874" s="8"/>
      <c r="E874" s="8"/>
      <c r="F874" s="1"/>
      <c r="T874" s="74"/>
      <c r="AA874" s="1"/>
      <c r="AH874" s="1"/>
      <c r="AO874" s="1"/>
    </row>
    <row r="875" ht="14.25" customHeight="1">
      <c r="B875" s="8"/>
      <c r="C875" s="8"/>
      <c r="D875" s="8"/>
      <c r="E875" s="8"/>
      <c r="F875" s="1"/>
      <c r="T875" s="74"/>
      <c r="AA875" s="1"/>
      <c r="AH875" s="1"/>
      <c r="AO875" s="1"/>
    </row>
    <row r="876" ht="14.25" customHeight="1">
      <c r="B876" s="8"/>
      <c r="C876" s="8"/>
      <c r="D876" s="8"/>
      <c r="E876" s="8"/>
      <c r="F876" s="1"/>
      <c r="T876" s="74"/>
      <c r="AA876" s="1"/>
      <c r="AH876" s="1"/>
      <c r="AO876" s="1"/>
    </row>
    <row r="877" ht="14.25" customHeight="1">
      <c r="B877" s="8"/>
      <c r="C877" s="8"/>
      <c r="D877" s="8"/>
      <c r="E877" s="8"/>
      <c r="F877" s="1"/>
      <c r="T877" s="74"/>
      <c r="AA877" s="1"/>
      <c r="AH877" s="1"/>
      <c r="AO877" s="1"/>
    </row>
    <row r="878" ht="14.25" customHeight="1">
      <c r="B878" s="8"/>
      <c r="C878" s="8"/>
      <c r="D878" s="8"/>
      <c r="E878" s="8"/>
      <c r="F878" s="1"/>
      <c r="T878" s="74"/>
      <c r="AA878" s="1"/>
      <c r="AH878" s="1"/>
      <c r="AO878" s="1"/>
    </row>
    <row r="879" ht="14.25" customHeight="1">
      <c r="B879" s="8"/>
      <c r="C879" s="8"/>
      <c r="D879" s="8"/>
      <c r="E879" s="8"/>
      <c r="F879" s="1"/>
      <c r="T879" s="74"/>
      <c r="AA879" s="1"/>
      <c r="AH879" s="1"/>
      <c r="AO879" s="1"/>
    </row>
    <row r="880" ht="14.25" customHeight="1">
      <c r="B880" s="8"/>
      <c r="C880" s="8"/>
      <c r="D880" s="8"/>
      <c r="E880" s="8"/>
      <c r="F880" s="1"/>
      <c r="T880" s="74"/>
      <c r="AA880" s="1"/>
      <c r="AH880" s="1"/>
      <c r="AO880" s="1"/>
    </row>
    <row r="881" ht="14.25" customHeight="1">
      <c r="B881" s="8"/>
      <c r="C881" s="8"/>
      <c r="D881" s="8"/>
      <c r="E881" s="8"/>
      <c r="F881" s="1"/>
      <c r="T881" s="74"/>
      <c r="AA881" s="1"/>
      <c r="AH881" s="1"/>
      <c r="AO881" s="1"/>
    </row>
    <row r="882" ht="14.25" customHeight="1">
      <c r="B882" s="8"/>
      <c r="C882" s="8"/>
      <c r="D882" s="8"/>
      <c r="E882" s="8"/>
      <c r="F882" s="1"/>
      <c r="T882" s="74"/>
      <c r="AA882" s="1"/>
      <c r="AH882" s="1"/>
      <c r="AO882" s="1"/>
    </row>
    <row r="883" ht="14.25" customHeight="1">
      <c r="B883" s="8"/>
      <c r="C883" s="8"/>
      <c r="D883" s="8"/>
      <c r="E883" s="8"/>
      <c r="F883" s="1"/>
      <c r="T883" s="74"/>
      <c r="AA883" s="1"/>
      <c r="AH883" s="1"/>
      <c r="AO883" s="1"/>
    </row>
    <row r="884" ht="14.25" customHeight="1">
      <c r="B884" s="8"/>
      <c r="C884" s="8"/>
      <c r="D884" s="8"/>
      <c r="E884" s="8"/>
      <c r="F884" s="1"/>
      <c r="T884" s="74"/>
      <c r="AA884" s="1"/>
      <c r="AH884" s="1"/>
      <c r="AO884" s="1"/>
    </row>
    <row r="885" ht="14.25" customHeight="1">
      <c r="B885" s="8"/>
      <c r="C885" s="8"/>
      <c r="D885" s="8"/>
      <c r="E885" s="8"/>
      <c r="F885" s="1"/>
      <c r="T885" s="74"/>
      <c r="AA885" s="1"/>
      <c r="AH885" s="1"/>
      <c r="AO885" s="1"/>
    </row>
    <row r="886" ht="14.25" customHeight="1">
      <c r="B886" s="8"/>
      <c r="C886" s="8"/>
      <c r="D886" s="8"/>
      <c r="E886" s="8"/>
      <c r="F886" s="1"/>
      <c r="T886" s="74"/>
      <c r="AA886" s="1"/>
      <c r="AH886" s="1"/>
      <c r="AO886" s="1"/>
    </row>
    <row r="887" ht="14.25" customHeight="1">
      <c r="B887" s="8"/>
      <c r="C887" s="8"/>
      <c r="D887" s="8"/>
      <c r="E887" s="8"/>
      <c r="F887" s="1"/>
      <c r="T887" s="74"/>
      <c r="AA887" s="1"/>
      <c r="AH887" s="1"/>
      <c r="AO887" s="1"/>
    </row>
    <row r="888" ht="14.25" customHeight="1">
      <c r="B888" s="8"/>
      <c r="C888" s="8"/>
      <c r="D888" s="8"/>
      <c r="E888" s="8"/>
      <c r="F888" s="1"/>
      <c r="T888" s="74"/>
      <c r="AA888" s="1"/>
      <c r="AH888" s="1"/>
      <c r="AO888" s="1"/>
    </row>
    <row r="889" ht="14.25" customHeight="1">
      <c r="B889" s="8"/>
      <c r="C889" s="8"/>
      <c r="D889" s="8"/>
      <c r="E889" s="8"/>
      <c r="F889" s="1"/>
      <c r="T889" s="74"/>
      <c r="AA889" s="1"/>
      <c r="AH889" s="1"/>
      <c r="AO889" s="1"/>
    </row>
    <row r="890" ht="14.25" customHeight="1">
      <c r="B890" s="8"/>
      <c r="C890" s="8"/>
      <c r="D890" s="8"/>
      <c r="E890" s="8"/>
      <c r="F890" s="1"/>
      <c r="T890" s="74"/>
      <c r="AA890" s="1"/>
      <c r="AH890" s="1"/>
      <c r="AO890" s="1"/>
    </row>
    <row r="891" ht="14.25" customHeight="1">
      <c r="B891" s="8"/>
      <c r="C891" s="8"/>
      <c r="D891" s="8"/>
      <c r="E891" s="8"/>
      <c r="F891" s="1"/>
      <c r="T891" s="74"/>
      <c r="AA891" s="1"/>
      <c r="AH891" s="1"/>
      <c r="AO891" s="1"/>
    </row>
    <row r="892" ht="14.25" customHeight="1">
      <c r="B892" s="8"/>
      <c r="C892" s="8"/>
      <c r="D892" s="8"/>
      <c r="E892" s="8"/>
      <c r="F892" s="1"/>
      <c r="T892" s="74"/>
      <c r="AA892" s="1"/>
      <c r="AH892" s="1"/>
      <c r="AO892" s="1"/>
    </row>
    <row r="893" ht="14.25" customHeight="1">
      <c r="B893" s="8"/>
      <c r="C893" s="8"/>
      <c r="D893" s="8"/>
      <c r="E893" s="8"/>
      <c r="F893" s="1"/>
      <c r="T893" s="74"/>
      <c r="AA893" s="1"/>
      <c r="AH893" s="1"/>
      <c r="AO893" s="1"/>
    </row>
    <row r="894" ht="14.25" customHeight="1">
      <c r="B894" s="8"/>
      <c r="C894" s="8"/>
      <c r="D894" s="8"/>
      <c r="E894" s="8"/>
      <c r="F894" s="1"/>
      <c r="T894" s="74"/>
      <c r="AA894" s="1"/>
      <c r="AH894" s="1"/>
      <c r="AO894" s="1"/>
    </row>
    <row r="895" ht="14.25" customHeight="1">
      <c r="B895" s="8"/>
      <c r="C895" s="8"/>
      <c r="D895" s="8"/>
      <c r="E895" s="8"/>
      <c r="F895" s="1"/>
      <c r="T895" s="74"/>
      <c r="AA895" s="1"/>
      <c r="AH895" s="1"/>
      <c r="AO895" s="1"/>
    </row>
    <row r="896" ht="14.25" customHeight="1">
      <c r="B896" s="8"/>
      <c r="C896" s="8"/>
      <c r="D896" s="8"/>
      <c r="E896" s="8"/>
      <c r="F896" s="1"/>
      <c r="T896" s="74"/>
      <c r="AA896" s="1"/>
      <c r="AH896" s="1"/>
      <c r="AO896" s="1"/>
    </row>
    <row r="897" ht="14.25" customHeight="1">
      <c r="B897" s="8"/>
      <c r="C897" s="8"/>
      <c r="D897" s="8"/>
      <c r="E897" s="8"/>
      <c r="F897" s="1"/>
      <c r="T897" s="74"/>
      <c r="AA897" s="1"/>
      <c r="AH897" s="1"/>
      <c r="AO897" s="1"/>
    </row>
    <row r="898" ht="14.25" customHeight="1">
      <c r="B898" s="8"/>
      <c r="C898" s="8"/>
      <c r="D898" s="8"/>
      <c r="E898" s="8"/>
      <c r="F898" s="1"/>
      <c r="T898" s="74"/>
      <c r="AA898" s="1"/>
      <c r="AH898" s="1"/>
      <c r="AO898" s="1"/>
    </row>
    <row r="899" ht="14.25" customHeight="1">
      <c r="B899" s="8"/>
      <c r="C899" s="8"/>
      <c r="D899" s="8"/>
      <c r="E899" s="8"/>
      <c r="F899" s="1"/>
      <c r="T899" s="74"/>
      <c r="AA899" s="1"/>
      <c r="AH899" s="1"/>
      <c r="AO899" s="1"/>
    </row>
    <row r="900" ht="14.25" customHeight="1">
      <c r="B900" s="8"/>
      <c r="C900" s="8"/>
      <c r="D900" s="8"/>
      <c r="E900" s="8"/>
      <c r="F900" s="1"/>
      <c r="T900" s="74"/>
      <c r="AA900" s="1"/>
      <c r="AH900" s="1"/>
      <c r="AO900" s="1"/>
    </row>
    <row r="901" ht="14.25" customHeight="1">
      <c r="B901" s="8"/>
      <c r="C901" s="8"/>
      <c r="D901" s="8"/>
      <c r="E901" s="8"/>
      <c r="F901" s="1"/>
      <c r="T901" s="74"/>
      <c r="AA901" s="1"/>
      <c r="AH901" s="1"/>
      <c r="AO901" s="1"/>
    </row>
    <row r="902" ht="14.25" customHeight="1">
      <c r="B902" s="8"/>
      <c r="C902" s="8"/>
      <c r="D902" s="8"/>
      <c r="E902" s="8"/>
      <c r="F902" s="1"/>
      <c r="T902" s="74"/>
      <c r="AA902" s="1"/>
      <c r="AH902" s="1"/>
      <c r="AO902" s="1"/>
    </row>
    <row r="903" ht="14.25" customHeight="1">
      <c r="B903" s="8"/>
      <c r="C903" s="8"/>
      <c r="D903" s="8"/>
      <c r="E903" s="8"/>
      <c r="F903" s="1"/>
      <c r="T903" s="74"/>
      <c r="AA903" s="1"/>
      <c r="AH903" s="1"/>
      <c r="AO903" s="1"/>
    </row>
    <row r="904" ht="14.25" customHeight="1">
      <c r="B904" s="8"/>
      <c r="C904" s="8"/>
      <c r="D904" s="8"/>
      <c r="E904" s="8"/>
      <c r="F904" s="1"/>
      <c r="T904" s="74"/>
      <c r="AA904" s="1"/>
      <c r="AH904" s="1"/>
      <c r="AO904" s="1"/>
    </row>
    <row r="905" ht="14.25" customHeight="1">
      <c r="B905" s="8"/>
      <c r="C905" s="8"/>
      <c r="D905" s="8"/>
      <c r="E905" s="8"/>
      <c r="F905" s="1"/>
      <c r="T905" s="74"/>
      <c r="AA905" s="1"/>
      <c r="AH905" s="1"/>
      <c r="AO905" s="1"/>
    </row>
    <row r="906" ht="14.25" customHeight="1">
      <c r="B906" s="8"/>
      <c r="C906" s="8"/>
      <c r="D906" s="8"/>
      <c r="E906" s="8"/>
      <c r="F906" s="1"/>
      <c r="T906" s="74"/>
      <c r="AA906" s="1"/>
      <c r="AH906" s="1"/>
      <c r="AO906" s="1"/>
    </row>
    <row r="907" ht="14.25" customHeight="1">
      <c r="B907" s="8"/>
      <c r="C907" s="8"/>
      <c r="D907" s="8"/>
      <c r="E907" s="8"/>
      <c r="F907" s="1"/>
      <c r="T907" s="74"/>
      <c r="AA907" s="1"/>
      <c r="AH907" s="1"/>
      <c r="AO907" s="1"/>
    </row>
    <row r="908" ht="14.25" customHeight="1">
      <c r="B908" s="8"/>
      <c r="C908" s="8"/>
      <c r="D908" s="8"/>
      <c r="E908" s="8"/>
      <c r="F908" s="1"/>
      <c r="T908" s="74"/>
      <c r="AA908" s="1"/>
      <c r="AH908" s="1"/>
      <c r="AO908" s="1"/>
    </row>
    <row r="909" ht="14.25" customHeight="1">
      <c r="B909" s="8"/>
      <c r="C909" s="8"/>
      <c r="D909" s="8"/>
      <c r="E909" s="8"/>
      <c r="F909" s="1"/>
      <c r="T909" s="74"/>
      <c r="AA909" s="1"/>
      <c r="AH909" s="1"/>
      <c r="AO909" s="1"/>
    </row>
    <row r="910" ht="14.25" customHeight="1">
      <c r="B910" s="8"/>
      <c r="C910" s="8"/>
      <c r="D910" s="8"/>
      <c r="E910" s="8"/>
      <c r="F910" s="1"/>
      <c r="T910" s="74"/>
      <c r="AA910" s="1"/>
      <c r="AH910" s="1"/>
      <c r="AO910" s="1"/>
    </row>
    <row r="911" ht="14.25" customHeight="1">
      <c r="B911" s="8"/>
      <c r="C911" s="8"/>
      <c r="D911" s="8"/>
      <c r="E911" s="8"/>
      <c r="F911" s="1"/>
      <c r="T911" s="74"/>
      <c r="AA911" s="1"/>
      <c r="AH911" s="1"/>
      <c r="AO911" s="1"/>
    </row>
    <row r="912" ht="14.25" customHeight="1">
      <c r="B912" s="8"/>
      <c r="C912" s="8"/>
      <c r="D912" s="8"/>
      <c r="E912" s="8"/>
      <c r="F912" s="1"/>
      <c r="T912" s="74"/>
      <c r="AA912" s="1"/>
      <c r="AH912" s="1"/>
      <c r="AO912" s="1"/>
    </row>
    <row r="913" ht="14.25" customHeight="1">
      <c r="B913" s="8"/>
      <c r="C913" s="8"/>
      <c r="D913" s="8"/>
      <c r="E913" s="8"/>
      <c r="F913" s="1"/>
      <c r="T913" s="74"/>
      <c r="AA913" s="1"/>
      <c r="AH913" s="1"/>
      <c r="AO913" s="1"/>
    </row>
    <row r="914" ht="14.25" customHeight="1">
      <c r="B914" s="8"/>
      <c r="C914" s="8"/>
      <c r="D914" s="8"/>
      <c r="E914" s="8"/>
      <c r="F914" s="1"/>
      <c r="T914" s="74"/>
      <c r="AA914" s="1"/>
      <c r="AH914" s="1"/>
      <c r="AO914" s="1"/>
    </row>
    <row r="915" ht="14.25" customHeight="1">
      <c r="B915" s="8"/>
      <c r="C915" s="8"/>
      <c r="D915" s="8"/>
      <c r="E915" s="8"/>
      <c r="F915" s="1"/>
      <c r="T915" s="74"/>
      <c r="AA915" s="1"/>
      <c r="AH915" s="1"/>
      <c r="AO915" s="1"/>
    </row>
    <row r="916" ht="14.25" customHeight="1">
      <c r="B916" s="8"/>
      <c r="C916" s="8"/>
      <c r="D916" s="8"/>
      <c r="E916" s="8"/>
      <c r="F916" s="1"/>
      <c r="T916" s="74"/>
      <c r="AA916" s="1"/>
      <c r="AH916" s="1"/>
      <c r="AO916" s="1"/>
    </row>
    <row r="917" ht="14.25" customHeight="1">
      <c r="B917" s="8"/>
      <c r="C917" s="8"/>
      <c r="D917" s="8"/>
      <c r="E917" s="8"/>
      <c r="F917" s="1"/>
      <c r="T917" s="74"/>
      <c r="AA917" s="1"/>
      <c r="AH917" s="1"/>
      <c r="AO917" s="1"/>
    </row>
    <row r="918" ht="14.25" customHeight="1">
      <c r="B918" s="8"/>
      <c r="C918" s="8"/>
      <c r="D918" s="8"/>
      <c r="E918" s="8"/>
      <c r="F918" s="1"/>
      <c r="T918" s="74"/>
      <c r="AA918" s="1"/>
      <c r="AH918" s="1"/>
      <c r="AO918" s="1"/>
    </row>
    <row r="919" ht="14.25" customHeight="1">
      <c r="B919" s="8"/>
      <c r="C919" s="8"/>
      <c r="D919" s="8"/>
      <c r="E919" s="8"/>
      <c r="F919" s="1"/>
      <c r="T919" s="74"/>
      <c r="AA919" s="1"/>
      <c r="AH919" s="1"/>
      <c r="AO919" s="1"/>
    </row>
    <row r="920" ht="14.25" customHeight="1">
      <c r="B920" s="8"/>
      <c r="C920" s="8"/>
      <c r="D920" s="8"/>
      <c r="E920" s="8"/>
      <c r="F920" s="1"/>
      <c r="T920" s="74"/>
      <c r="AA920" s="1"/>
      <c r="AH920" s="1"/>
      <c r="AO920" s="1"/>
    </row>
    <row r="921" ht="14.25" customHeight="1">
      <c r="B921" s="8"/>
      <c r="C921" s="8"/>
      <c r="D921" s="8"/>
      <c r="E921" s="8"/>
      <c r="F921" s="1"/>
      <c r="T921" s="74"/>
      <c r="AA921" s="1"/>
      <c r="AH921" s="1"/>
      <c r="AO921" s="1"/>
    </row>
    <row r="922" ht="14.25" customHeight="1">
      <c r="B922" s="8"/>
      <c r="C922" s="8"/>
      <c r="D922" s="8"/>
      <c r="E922" s="8"/>
      <c r="F922" s="1"/>
      <c r="T922" s="74"/>
      <c r="AA922" s="1"/>
      <c r="AH922" s="1"/>
      <c r="AO922" s="1"/>
    </row>
    <row r="923" ht="14.25" customHeight="1">
      <c r="B923" s="8"/>
      <c r="C923" s="8"/>
      <c r="D923" s="8"/>
      <c r="E923" s="8"/>
      <c r="F923" s="1"/>
      <c r="T923" s="74"/>
      <c r="AA923" s="1"/>
      <c r="AH923" s="1"/>
      <c r="AO923" s="1"/>
    </row>
    <row r="924" ht="14.25" customHeight="1">
      <c r="B924" s="8"/>
      <c r="C924" s="8"/>
      <c r="D924" s="8"/>
      <c r="E924" s="8"/>
      <c r="F924" s="1"/>
      <c r="T924" s="74"/>
      <c r="AA924" s="1"/>
      <c r="AH924" s="1"/>
      <c r="AO924" s="1"/>
    </row>
    <row r="925" ht="14.25" customHeight="1">
      <c r="B925" s="8"/>
      <c r="C925" s="8"/>
      <c r="D925" s="8"/>
      <c r="E925" s="8"/>
      <c r="F925" s="1"/>
      <c r="T925" s="74"/>
      <c r="AA925" s="1"/>
      <c r="AH925" s="1"/>
      <c r="AO925" s="1"/>
    </row>
    <row r="926" ht="14.25" customHeight="1">
      <c r="B926" s="8"/>
      <c r="C926" s="8"/>
      <c r="D926" s="8"/>
      <c r="E926" s="8"/>
      <c r="F926" s="1"/>
      <c r="T926" s="74"/>
      <c r="AA926" s="1"/>
      <c r="AH926" s="1"/>
      <c r="AO926" s="1"/>
    </row>
    <row r="927" ht="14.25" customHeight="1">
      <c r="B927" s="8"/>
      <c r="C927" s="8"/>
      <c r="D927" s="8"/>
      <c r="E927" s="8"/>
      <c r="F927" s="1"/>
      <c r="T927" s="74"/>
      <c r="AA927" s="1"/>
      <c r="AH927" s="1"/>
      <c r="AO927" s="1"/>
    </row>
    <row r="928" ht="14.25" customHeight="1">
      <c r="B928" s="8"/>
      <c r="C928" s="8"/>
      <c r="D928" s="8"/>
      <c r="E928" s="8"/>
      <c r="F928" s="1"/>
      <c r="T928" s="74"/>
      <c r="AA928" s="1"/>
      <c r="AH928" s="1"/>
      <c r="AO928" s="1"/>
    </row>
    <row r="929" ht="14.25" customHeight="1">
      <c r="B929" s="8"/>
      <c r="C929" s="8"/>
      <c r="D929" s="8"/>
      <c r="E929" s="8"/>
      <c r="F929" s="1"/>
      <c r="T929" s="74"/>
      <c r="AA929" s="1"/>
      <c r="AH929" s="1"/>
      <c r="AO929" s="1"/>
    </row>
    <row r="930" ht="14.25" customHeight="1">
      <c r="B930" s="8"/>
      <c r="C930" s="8"/>
      <c r="D930" s="8"/>
      <c r="E930" s="8"/>
      <c r="F930" s="1"/>
      <c r="T930" s="74"/>
      <c r="AA930" s="1"/>
      <c r="AH930" s="1"/>
      <c r="AO930" s="1"/>
    </row>
    <row r="931" ht="14.25" customHeight="1">
      <c r="B931" s="8"/>
      <c r="C931" s="8"/>
      <c r="D931" s="8"/>
      <c r="E931" s="8"/>
      <c r="F931" s="1"/>
      <c r="T931" s="74"/>
      <c r="AA931" s="1"/>
      <c r="AH931" s="1"/>
      <c r="AO931" s="1"/>
    </row>
    <row r="932" ht="14.25" customHeight="1">
      <c r="B932" s="8"/>
      <c r="C932" s="8"/>
      <c r="D932" s="8"/>
      <c r="E932" s="8"/>
      <c r="F932" s="1"/>
      <c r="T932" s="74"/>
      <c r="AA932" s="1"/>
      <c r="AH932" s="1"/>
      <c r="AO932" s="1"/>
    </row>
    <row r="933" ht="14.25" customHeight="1">
      <c r="B933" s="8"/>
      <c r="C933" s="8"/>
      <c r="D933" s="8"/>
      <c r="E933" s="8"/>
      <c r="F933" s="1"/>
      <c r="T933" s="74"/>
      <c r="AA933" s="1"/>
      <c r="AH933" s="1"/>
      <c r="AO933" s="1"/>
    </row>
    <row r="934" ht="14.25" customHeight="1">
      <c r="B934" s="8"/>
      <c r="C934" s="8"/>
      <c r="D934" s="8"/>
      <c r="E934" s="8"/>
      <c r="F934" s="1"/>
      <c r="T934" s="74"/>
      <c r="AA934" s="1"/>
      <c r="AH934" s="1"/>
      <c r="AO934" s="1"/>
    </row>
    <row r="935" ht="14.25" customHeight="1">
      <c r="B935" s="8"/>
      <c r="C935" s="8"/>
      <c r="D935" s="8"/>
      <c r="E935" s="8"/>
      <c r="F935" s="1"/>
      <c r="T935" s="74"/>
      <c r="AA935" s="1"/>
      <c r="AH935" s="1"/>
      <c r="AO935" s="1"/>
    </row>
    <row r="936" ht="14.25" customHeight="1">
      <c r="B936" s="8"/>
      <c r="C936" s="8"/>
      <c r="D936" s="8"/>
      <c r="E936" s="8"/>
      <c r="F936" s="1"/>
      <c r="T936" s="74"/>
      <c r="AA936" s="1"/>
      <c r="AH936" s="1"/>
      <c r="AO936" s="1"/>
    </row>
    <row r="937" ht="14.25" customHeight="1">
      <c r="B937" s="8"/>
      <c r="C937" s="8"/>
      <c r="D937" s="8"/>
      <c r="E937" s="8"/>
      <c r="F937" s="1"/>
      <c r="T937" s="74"/>
      <c r="AA937" s="1"/>
      <c r="AH937" s="1"/>
      <c r="AO937" s="1"/>
    </row>
    <row r="938" ht="14.25" customHeight="1">
      <c r="B938" s="8"/>
      <c r="C938" s="8"/>
      <c r="D938" s="8"/>
      <c r="E938" s="8"/>
      <c r="F938" s="1"/>
      <c r="T938" s="74"/>
      <c r="AA938" s="1"/>
      <c r="AH938" s="1"/>
      <c r="AO938" s="1"/>
    </row>
    <row r="939" ht="14.25" customHeight="1">
      <c r="B939" s="8"/>
      <c r="C939" s="8"/>
      <c r="D939" s="8"/>
      <c r="E939" s="8"/>
      <c r="F939" s="1"/>
      <c r="T939" s="74"/>
      <c r="AA939" s="1"/>
      <c r="AH939" s="1"/>
      <c r="AO939" s="1"/>
    </row>
    <row r="940" ht="14.25" customHeight="1">
      <c r="B940" s="8"/>
      <c r="C940" s="8"/>
      <c r="D940" s="8"/>
      <c r="E940" s="8"/>
      <c r="F940" s="1"/>
      <c r="T940" s="74"/>
      <c r="AA940" s="1"/>
      <c r="AH940" s="1"/>
      <c r="AO940" s="1"/>
    </row>
    <row r="941" ht="14.25" customHeight="1">
      <c r="B941" s="8"/>
      <c r="C941" s="8"/>
      <c r="D941" s="8"/>
      <c r="E941" s="8"/>
      <c r="F941" s="1"/>
      <c r="T941" s="74"/>
      <c r="AA941" s="1"/>
      <c r="AH941" s="1"/>
      <c r="AO941" s="1"/>
    </row>
    <row r="942" ht="14.25" customHeight="1">
      <c r="B942" s="8"/>
      <c r="C942" s="8"/>
      <c r="D942" s="8"/>
      <c r="E942" s="8"/>
      <c r="F942" s="1"/>
      <c r="T942" s="74"/>
      <c r="AA942" s="1"/>
      <c r="AH942" s="1"/>
      <c r="AO942" s="1"/>
    </row>
    <row r="943" ht="14.25" customHeight="1">
      <c r="B943" s="8"/>
      <c r="C943" s="8"/>
      <c r="D943" s="8"/>
      <c r="E943" s="8"/>
      <c r="F943" s="1"/>
      <c r="T943" s="74"/>
      <c r="AA943" s="1"/>
      <c r="AH943" s="1"/>
      <c r="AO943" s="1"/>
    </row>
    <row r="944" ht="14.25" customHeight="1">
      <c r="B944" s="8"/>
      <c r="C944" s="8"/>
      <c r="D944" s="8"/>
      <c r="E944" s="8"/>
      <c r="F944" s="1"/>
      <c r="T944" s="74"/>
      <c r="AA944" s="1"/>
      <c r="AH944" s="1"/>
      <c r="AO944" s="1"/>
    </row>
    <row r="945" ht="14.25" customHeight="1">
      <c r="B945" s="8"/>
      <c r="C945" s="8"/>
      <c r="D945" s="8"/>
      <c r="E945" s="8"/>
      <c r="F945" s="1"/>
      <c r="T945" s="74"/>
      <c r="AA945" s="1"/>
      <c r="AH945" s="1"/>
      <c r="AO945" s="1"/>
    </row>
    <row r="946" ht="14.25" customHeight="1">
      <c r="B946" s="8"/>
      <c r="C946" s="8"/>
      <c r="D946" s="8"/>
      <c r="E946" s="8"/>
      <c r="F946" s="1"/>
      <c r="T946" s="74"/>
      <c r="AA946" s="1"/>
      <c r="AH946" s="1"/>
      <c r="AO946" s="1"/>
    </row>
    <row r="947" ht="14.25" customHeight="1">
      <c r="B947" s="8"/>
      <c r="C947" s="8"/>
      <c r="D947" s="8"/>
      <c r="E947" s="8"/>
      <c r="F947" s="1"/>
      <c r="T947" s="74"/>
      <c r="AA947" s="1"/>
      <c r="AH947" s="1"/>
      <c r="AO947" s="1"/>
    </row>
    <row r="948" ht="14.25" customHeight="1">
      <c r="B948" s="8"/>
      <c r="C948" s="8"/>
      <c r="D948" s="8"/>
      <c r="E948" s="8"/>
      <c r="F948" s="1"/>
      <c r="T948" s="74"/>
      <c r="AA948" s="1"/>
      <c r="AH948" s="1"/>
      <c r="AO948" s="1"/>
    </row>
    <row r="949" ht="14.25" customHeight="1">
      <c r="B949" s="8"/>
      <c r="C949" s="8"/>
      <c r="D949" s="8"/>
      <c r="E949" s="8"/>
      <c r="F949" s="1"/>
      <c r="T949" s="74"/>
      <c r="AA949" s="1"/>
      <c r="AH949" s="1"/>
      <c r="AO949" s="1"/>
    </row>
    <row r="950" ht="14.25" customHeight="1">
      <c r="B950" s="8"/>
      <c r="C950" s="8"/>
      <c r="D950" s="8"/>
      <c r="E950" s="8"/>
      <c r="F950" s="1"/>
      <c r="T950" s="74"/>
      <c r="AA950" s="1"/>
      <c r="AH950" s="1"/>
      <c r="AO950" s="1"/>
    </row>
    <row r="951" ht="14.25" customHeight="1">
      <c r="B951" s="8"/>
      <c r="C951" s="8"/>
      <c r="D951" s="8"/>
      <c r="E951" s="8"/>
      <c r="F951" s="1"/>
      <c r="T951" s="74"/>
      <c r="AA951" s="1"/>
      <c r="AH951" s="1"/>
      <c r="AO951" s="1"/>
    </row>
    <row r="952" ht="14.25" customHeight="1">
      <c r="B952" s="8"/>
      <c r="C952" s="8"/>
      <c r="D952" s="8"/>
      <c r="E952" s="8"/>
      <c r="F952" s="1"/>
      <c r="T952" s="74"/>
      <c r="AA952" s="1"/>
      <c r="AH952" s="1"/>
      <c r="AO952" s="1"/>
    </row>
    <row r="953" ht="14.25" customHeight="1">
      <c r="B953" s="8"/>
      <c r="C953" s="8"/>
      <c r="D953" s="8"/>
      <c r="E953" s="8"/>
      <c r="F953" s="1"/>
      <c r="T953" s="74"/>
      <c r="AA953" s="1"/>
      <c r="AH953" s="1"/>
      <c r="AO953" s="1"/>
    </row>
    <row r="954" ht="14.25" customHeight="1">
      <c r="B954" s="8"/>
      <c r="C954" s="8"/>
      <c r="D954" s="8"/>
      <c r="E954" s="8"/>
      <c r="F954" s="1"/>
      <c r="T954" s="74"/>
      <c r="AA954" s="1"/>
      <c r="AH954" s="1"/>
      <c r="AO954" s="1"/>
    </row>
    <row r="955" ht="14.25" customHeight="1">
      <c r="B955" s="8"/>
      <c r="C955" s="8"/>
      <c r="D955" s="8"/>
      <c r="E955" s="8"/>
      <c r="F955" s="1"/>
      <c r="T955" s="74"/>
      <c r="AA955" s="1"/>
      <c r="AH955" s="1"/>
      <c r="AO955" s="1"/>
    </row>
    <row r="956" ht="14.25" customHeight="1">
      <c r="B956" s="8"/>
      <c r="C956" s="8"/>
      <c r="D956" s="8"/>
      <c r="E956" s="8"/>
      <c r="F956" s="1"/>
      <c r="T956" s="74"/>
      <c r="AA956" s="1"/>
      <c r="AH956" s="1"/>
      <c r="AO956" s="1"/>
    </row>
    <row r="957" ht="14.25" customHeight="1">
      <c r="B957" s="8"/>
      <c r="C957" s="8"/>
      <c r="D957" s="8"/>
      <c r="E957" s="8"/>
      <c r="F957" s="1"/>
      <c r="T957" s="74"/>
      <c r="AA957" s="1"/>
      <c r="AH957" s="1"/>
      <c r="AO957" s="1"/>
    </row>
    <row r="958" ht="14.25" customHeight="1">
      <c r="B958" s="8"/>
      <c r="C958" s="8"/>
      <c r="D958" s="8"/>
      <c r="E958" s="8"/>
      <c r="F958" s="1"/>
      <c r="T958" s="74"/>
      <c r="AA958" s="1"/>
      <c r="AH958" s="1"/>
      <c r="AO958" s="1"/>
    </row>
    <row r="959" ht="14.25" customHeight="1">
      <c r="B959" s="8"/>
      <c r="C959" s="8"/>
      <c r="D959" s="8"/>
      <c r="E959" s="8"/>
      <c r="F959" s="1"/>
      <c r="T959" s="74"/>
      <c r="AA959" s="1"/>
      <c r="AH959" s="1"/>
      <c r="AO959" s="1"/>
    </row>
    <row r="960" ht="14.25" customHeight="1">
      <c r="B960" s="8"/>
      <c r="C960" s="8"/>
      <c r="D960" s="8"/>
      <c r="E960" s="8"/>
      <c r="F960" s="1"/>
      <c r="T960" s="74"/>
      <c r="AA960" s="1"/>
      <c r="AH960" s="1"/>
      <c r="AO960" s="1"/>
    </row>
    <row r="961" ht="14.25" customHeight="1">
      <c r="B961" s="8"/>
      <c r="C961" s="8"/>
      <c r="D961" s="8"/>
      <c r="E961" s="8"/>
      <c r="F961" s="1"/>
      <c r="T961" s="74"/>
      <c r="AA961" s="1"/>
      <c r="AH961" s="1"/>
      <c r="AO961" s="1"/>
    </row>
    <row r="962" ht="14.25" customHeight="1">
      <c r="B962" s="8"/>
      <c r="C962" s="8"/>
      <c r="D962" s="8"/>
      <c r="E962" s="8"/>
      <c r="F962" s="1"/>
      <c r="T962" s="74"/>
      <c r="AA962" s="1"/>
      <c r="AH962" s="1"/>
      <c r="AO962" s="1"/>
    </row>
    <row r="963" ht="14.25" customHeight="1">
      <c r="B963" s="8"/>
      <c r="C963" s="8"/>
      <c r="D963" s="8"/>
      <c r="E963" s="8"/>
      <c r="F963" s="1"/>
      <c r="T963" s="74"/>
      <c r="AA963" s="1"/>
      <c r="AH963" s="1"/>
      <c r="AO963" s="1"/>
    </row>
    <row r="964" ht="14.25" customHeight="1">
      <c r="B964" s="8"/>
      <c r="C964" s="8"/>
      <c r="D964" s="8"/>
      <c r="E964" s="8"/>
      <c r="F964" s="1"/>
      <c r="T964" s="74"/>
      <c r="AA964" s="1"/>
      <c r="AH964" s="1"/>
      <c r="AO964" s="1"/>
    </row>
    <row r="965" ht="14.25" customHeight="1">
      <c r="B965" s="8"/>
      <c r="C965" s="8"/>
      <c r="D965" s="8"/>
      <c r="E965" s="8"/>
      <c r="F965" s="1"/>
      <c r="T965" s="74"/>
      <c r="AA965" s="1"/>
      <c r="AH965" s="1"/>
      <c r="AO965" s="1"/>
    </row>
    <row r="966" ht="14.25" customHeight="1">
      <c r="B966" s="8"/>
      <c r="C966" s="8"/>
      <c r="D966" s="8"/>
      <c r="E966" s="8"/>
      <c r="F966" s="1"/>
      <c r="T966" s="74"/>
      <c r="AA966" s="1"/>
      <c r="AH966" s="1"/>
      <c r="AO966" s="1"/>
    </row>
    <row r="967" ht="14.25" customHeight="1">
      <c r="B967" s="8"/>
      <c r="C967" s="8"/>
      <c r="D967" s="8"/>
      <c r="E967" s="8"/>
      <c r="F967" s="1"/>
      <c r="T967" s="74"/>
      <c r="AA967" s="1"/>
      <c r="AH967" s="1"/>
      <c r="AO967" s="1"/>
    </row>
    <row r="968" ht="14.25" customHeight="1">
      <c r="B968" s="8"/>
      <c r="C968" s="8"/>
      <c r="D968" s="8"/>
      <c r="E968" s="8"/>
      <c r="F968" s="1"/>
      <c r="T968" s="74"/>
      <c r="AA968" s="1"/>
      <c r="AH968" s="1"/>
      <c r="AO968" s="1"/>
    </row>
    <row r="969" ht="14.25" customHeight="1">
      <c r="B969" s="8"/>
      <c r="C969" s="8"/>
      <c r="D969" s="8"/>
      <c r="E969" s="8"/>
      <c r="F969" s="1"/>
      <c r="T969" s="74"/>
      <c r="AA969" s="1"/>
      <c r="AH969" s="1"/>
      <c r="AO969" s="1"/>
    </row>
    <row r="970" ht="14.25" customHeight="1">
      <c r="B970" s="8"/>
      <c r="C970" s="8"/>
      <c r="D970" s="8"/>
      <c r="E970" s="8"/>
      <c r="F970" s="1"/>
      <c r="T970" s="74"/>
      <c r="AA970" s="1"/>
      <c r="AH970" s="1"/>
      <c r="AO970" s="1"/>
    </row>
    <row r="971" ht="14.25" customHeight="1">
      <c r="B971" s="8"/>
      <c r="C971" s="8"/>
      <c r="D971" s="8"/>
      <c r="E971" s="8"/>
      <c r="F971" s="1"/>
      <c r="T971" s="74"/>
      <c r="AA971" s="1"/>
      <c r="AH971" s="1"/>
      <c r="AO971" s="1"/>
    </row>
    <row r="972" ht="14.25" customHeight="1">
      <c r="B972" s="8"/>
      <c r="C972" s="8"/>
      <c r="D972" s="8"/>
      <c r="E972" s="8"/>
      <c r="F972" s="1"/>
      <c r="T972" s="74"/>
      <c r="AA972" s="1"/>
      <c r="AH972" s="1"/>
      <c r="AO972" s="1"/>
    </row>
    <row r="973" ht="14.25" customHeight="1">
      <c r="B973" s="8"/>
      <c r="C973" s="8"/>
      <c r="D973" s="8"/>
      <c r="E973" s="8"/>
      <c r="F973" s="1"/>
      <c r="T973" s="74"/>
      <c r="AA973" s="1"/>
      <c r="AH973" s="1"/>
      <c r="AO973" s="1"/>
    </row>
    <row r="974" ht="14.25" customHeight="1">
      <c r="B974" s="8"/>
      <c r="C974" s="8"/>
      <c r="D974" s="8"/>
      <c r="E974" s="8"/>
      <c r="F974" s="1"/>
      <c r="T974" s="74"/>
      <c r="AA974" s="1"/>
      <c r="AH974" s="1"/>
      <c r="AO974" s="1"/>
    </row>
    <row r="975" ht="14.25" customHeight="1">
      <c r="B975" s="8"/>
      <c r="C975" s="8"/>
      <c r="D975" s="8"/>
      <c r="E975" s="8"/>
      <c r="F975" s="1"/>
      <c r="T975" s="74"/>
      <c r="AA975" s="1"/>
      <c r="AH975" s="1"/>
      <c r="AO975" s="1"/>
    </row>
    <row r="976" ht="14.25" customHeight="1">
      <c r="B976" s="8"/>
      <c r="C976" s="8"/>
      <c r="D976" s="8"/>
      <c r="E976" s="8"/>
      <c r="F976" s="1"/>
      <c r="T976" s="74"/>
      <c r="AA976" s="1"/>
      <c r="AH976" s="1"/>
      <c r="AO976" s="1"/>
    </row>
    <row r="977" ht="14.25" customHeight="1">
      <c r="B977" s="8"/>
      <c r="C977" s="8"/>
      <c r="D977" s="8"/>
      <c r="E977" s="8"/>
      <c r="F977" s="1"/>
      <c r="T977" s="74"/>
      <c r="AA977" s="1"/>
      <c r="AH977" s="1"/>
      <c r="AO977" s="1"/>
    </row>
    <row r="978" ht="14.25" customHeight="1">
      <c r="B978" s="8"/>
      <c r="C978" s="8"/>
      <c r="D978" s="8"/>
      <c r="E978" s="8"/>
      <c r="F978" s="1"/>
      <c r="T978" s="74"/>
      <c r="AA978" s="1"/>
      <c r="AH978" s="1"/>
      <c r="AO978" s="1"/>
    </row>
    <row r="979" ht="14.25" customHeight="1">
      <c r="B979" s="8"/>
      <c r="C979" s="8"/>
      <c r="D979" s="8"/>
      <c r="E979" s="8"/>
      <c r="F979" s="1"/>
      <c r="T979" s="74"/>
      <c r="AA979" s="1"/>
      <c r="AH979" s="1"/>
      <c r="AO979" s="1"/>
    </row>
    <row r="980" ht="14.25" customHeight="1">
      <c r="B980" s="8"/>
      <c r="C980" s="8"/>
      <c r="D980" s="8"/>
      <c r="E980" s="8"/>
      <c r="F980" s="1"/>
      <c r="T980" s="74"/>
      <c r="AA980" s="1"/>
      <c r="AH980" s="1"/>
      <c r="AO980" s="1"/>
    </row>
    <row r="981" ht="14.25" customHeight="1">
      <c r="B981" s="8"/>
      <c r="C981" s="8"/>
      <c r="D981" s="8"/>
      <c r="E981" s="8"/>
      <c r="F981" s="1"/>
      <c r="T981" s="74"/>
      <c r="AA981" s="1"/>
      <c r="AH981" s="1"/>
      <c r="AO981" s="1"/>
    </row>
    <row r="982" ht="14.25" customHeight="1">
      <c r="B982" s="8"/>
      <c r="C982" s="8"/>
      <c r="D982" s="8"/>
      <c r="E982" s="8"/>
      <c r="F982" s="1"/>
      <c r="T982" s="74"/>
      <c r="AA982" s="1"/>
      <c r="AH982" s="1"/>
      <c r="AO982" s="1"/>
    </row>
    <row r="983" ht="14.25" customHeight="1">
      <c r="B983" s="8"/>
      <c r="C983" s="8"/>
      <c r="D983" s="8"/>
      <c r="E983" s="8"/>
      <c r="F983" s="1"/>
      <c r="T983" s="74"/>
      <c r="AA983" s="1"/>
      <c r="AH983" s="1"/>
      <c r="AO983" s="1"/>
    </row>
    <row r="984" ht="14.25" customHeight="1">
      <c r="B984" s="8"/>
      <c r="C984" s="8"/>
      <c r="D984" s="8"/>
      <c r="E984" s="8"/>
      <c r="F984" s="1"/>
      <c r="T984" s="74"/>
      <c r="AA984" s="1"/>
      <c r="AH984" s="1"/>
      <c r="AO984" s="1"/>
    </row>
    <row r="985" ht="14.25" customHeight="1">
      <c r="B985" s="8"/>
      <c r="C985" s="8"/>
      <c r="D985" s="8"/>
      <c r="E985" s="8"/>
      <c r="F985" s="1"/>
      <c r="T985" s="74"/>
      <c r="AA985" s="1"/>
      <c r="AH985" s="1"/>
      <c r="AO985" s="1"/>
    </row>
    <row r="986" ht="14.25" customHeight="1">
      <c r="B986" s="8"/>
      <c r="C986" s="8"/>
      <c r="D986" s="8"/>
      <c r="E986" s="8"/>
      <c r="F986" s="1"/>
      <c r="T986" s="74"/>
      <c r="AA986" s="1"/>
      <c r="AH986" s="1"/>
      <c r="AO986" s="1"/>
    </row>
    <row r="987" ht="14.25" customHeight="1">
      <c r="B987" s="8"/>
      <c r="C987" s="8"/>
      <c r="D987" s="8"/>
      <c r="E987" s="8"/>
      <c r="F987" s="1"/>
      <c r="T987" s="74"/>
      <c r="AA987" s="1"/>
      <c r="AH987" s="1"/>
      <c r="AO987" s="1"/>
    </row>
    <row r="988" ht="14.25" customHeight="1">
      <c r="B988" s="8"/>
      <c r="C988" s="8"/>
      <c r="D988" s="8"/>
      <c r="E988" s="8"/>
      <c r="F988" s="1"/>
      <c r="T988" s="74"/>
      <c r="AA988" s="1"/>
      <c r="AH988" s="1"/>
      <c r="AO988" s="1"/>
    </row>
    <row r="989" ht="14.25" customHeight="1">
      <c r="B989" s="8"/>
      <c r="C989" s="8"/>
      <c r="D989" s="8"/>
      <c r="E989" s="8"/>
      <c r="F989" s="1"/>
      <c r="T989" s="74"/>
      <c r="AA989" s="1"/>
      <c r="AH989" s="1"/>
      <c r="AO989" s="1"/>
    </row>
    <row r="990" ht="14.25" customHeight="1">
      <c r="B990" s="8"/>
      <c r="C990" s="8"/>
      <c r="D990" s="8"/>
      <c r="E990" s="8"/>
      <c r="F990" s="1"/>
      <c r="T990" s="74"/>
      <c r="AA990" s="1"/>
      <c r="AH990" s="1"/>
      <c r="AO990" s="1"/>
    </row>
    <row r="991" ht="14.25" customHeight="1">
      <c r="B991" s="8"/>
      <c r="C991" s="8"/>
      <c r="D991" s="8"/>
      <c r="E991" s="8"/>
      <c r="F991" s="1"/>
      <c r="T991" s="74"/>
      <c r="AA991" s="1"/>
      <c r="AH991" s="1"/>
      <c r="AO991" s="1"/>
    </row>
    <row r="992" ht="14.25" customHeight="1">
      <c r="B992" s="8"/>
      <c r="C992" s="8"/>
      <c r="D992" s="8"/>
      <c r="E992" s="8"/>
      <c r="F992" s="1"/>
      <c r="T992" s="74"/>
      <c r="AA992" s="1"/>
      <c r="AH992" s="1"/>
      <c r="AO992" s="1"/>
    </row>
    <row r="993" ht="14.25" customHeight="1">
      <c r="B993" s="8"/>
      <c r="C993" s="8"/>
      <c r="D993" s="8"/>
      <c r="E993" s="8"/>
      <c r="F993" s="1"/>
      <c r="T993" s="74"/>
      <c r="AA993" s="1"/>
      <c r="AH993" s="1"/>
      <c r="AO993" s="1"/>
    </row>
    <row r="994" ht="14.25" customHeight="1">
      <c r="B994" s="8"/>
      <c r="C994" s="8"/>
      <c r="D994" s="8"/>
      <c r="E994" s="8"/>
      <c r="F994" s="1"/>
      <c r="T994" s="74"/>
      <c r="AA994" s="1"/>
      <c r="AH994" s="1"/>
      <c r="AO994" s="1"/>
    </row>
    <row r="995" ht="14.25" customHeight="1">
      <c r="B995" s="8"/>
      <c r="C995" s="8"/>
      <c r="D995" s="8"/>
      <c r="E995" s="8"/>
      <c r="F995" s="1"/>
      <c r="T995" s="74"/>
      <c r="AA995" s="1"/>
      <c r="AH995" s="1"/>
      <c r="AO995" s="1"/>
    </row>
    <row r="996" ht="14.25" customHeight="1">
      <c r="B996" s="8"/>
      <c r="C996" s="8"/>
      <c r="D996" s="8"/>
      <c r="E996" s="8"/>
      <c r="F996" s="1"/>
      <c r="T996" s="74"/>
      <c r="AA996" s="1"/>
      <c r="AH996" s="1"/>
      <c r="AO996" s="1"/>
    </row>
    <row r="997" ht="14.25" customHeight="1">
      <c r="B997" s="8"/>
      <c r="C997" s="8"/>
      <c r="D997" s="8"/>
      <c r="E997" s="8"/>
      <c r="F997" s="1"/>
      <c r="T997" s="74"/>
      <c r="AA997" s="1"/>
      <c r="AH997" s="1"/>
      <c r="AO997" s="1"/>
    </row>
    <row r="998" ht="14.25" customHeight="1">
      <c r="B998" s="8"/>
      <c r="C998" s="8"/>
      <c r="D998" s="8"/>
      <c r="E998" s="8"/>
      <c r="F998" s="1"/>
      <c r="T998" s="74"/>
      <c r="AA998" s="1"/>
      <c r="AH998" s="1"/>
      <c r="AO998" s="1"/>
    </row>
    <row r="999" ht="14.25" customHeight="1">
      <c r="B999" s="8"/>
      <c r="C999" s="8"/>
      <c r="D999" s="8"/>
      <c r="E999" s="8"/>
      <c r="F999" s="1"/>
      <c r="T999" s="74"/>
      <c r="AA999" s="1"/>
      <c r="AH999" s="1"/>
      <c r="AO999" s="1"/>
    </row>
    <row r="1000" ht="14.25" customHeight="1">
      <c r="B1000" s="8"/>
      <c r="C1000" s="8"/>
      <c r="D1000" s="8"/>
      <c r="E1000" s="8"/>
      <c r="F1000" s="1"/>
      <c r="T1000" s="74"/>
      <c r="AA1000" s="1"/>
      <c r="AH1000" s="1"/>
      <c r="AO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1.5"/>
    <col customWidth="1" min="3" max="3" width="10.88"/>
    <col customWidth="1" min="4" max="4" width="21.13"/>
    <col customWidth="1" min="5" max="26" width="7.63"/>
  </cols>
  <sheetData>
    <row r="1" ht="14.25" customHeight="1"/>
    <row r="2" ht="14.25" customHeight="1">
      <c r="B2" s="1" t="s">
        <v>69</v>
      </c>
      <c r="C2" s="1" t="s">
        <v>70</v>
      </c>
      <c r="D2" s="1" t="s">
        <v>71</v>
      </c>
    </row>
    <row r="3" ht="14.25" customHeight="1">
      <c r="B3" s="75" t="s">
        <v>72</v>
      </c>
      <c r="C3" s="76">
        <v>7500.0</v>
      </c>
      <c r="D3" s="7" t="s">
        <v>73</v>
      </c>
    </row>
    <row r="4" ht="14.25" customHeight="1">
      <c r="B4" s="7" t="s">
        <v>74</v>
      </c>
      <c r="C4" s="76">
        <v>90000.0</v>
      </c>
      <c r="D4" s="7" t="s">
        <v>15</v>
      </c>
    </row>
    <row r="5" ht="14.25" customHeight="1">
      <c r="B5" s="7" t="s">
        <v>75</v>
      </c>
      <c r="C5" s="76">
        <v>550.0</v>
      </c>
      <c r="D5" s="7" t="s">
        <v>76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>
      <c r="A2" s="1" t="s">
        <v>77</v>
      </c>
    </row>
    <row r="3" ht="14.25" customHeight="1"/>
    <row r="4" ht="14.25" customHeight="1">
      <c r="B4" s="7" t="s">
        <v>78</v>
      </c>
      <c r="D4" s="7">
        <v>30.0</v>
      </c>
      <c r="E4" s="7" t="s">
        <v>79</v>
      </c>
    </row>
    <row r="5" ht="14.25" customHeight="1">
      <c r="B5" s="7" t="s">
        <v>80</v>
      </c>
      <c r="D5" s="7">
        <v>12.0</v>
      </c>
      <c r="E5" s="7" t="s">
        <v>81</v>
      </c>
    </row>
    <row r="6" ht="14.25" customHeight="1">
      <c r="D6" s="7">
        <f>+D4*D5</f>
        <v>360</v>
      </c>
      <c r="E6" s="7" t="s">
        <v>79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0.38"/>
    <col customWidth="1" min="3" max="4" width="7.63"/>
    <col customWidth="1" min="5" max="5" width="8.88"/>
    <col customWidth="1" min="6" max="6" width="8.13"/>
    <col customWidth="1" min="7" max="7" width="8.75"/>
    <col customWidth="1" min="8" max="8" width="6.75"/>
    <col customWidth="1" min="9" max="14" width="7.63"/>
    <col customWidth="1" min="15" max="15" width="17.13"/>
    <col customWidth="1" min="16" max="16" width="9.38"/>
    <col customWidth="1" min="17" max="17" width="6.13"/>
    <col customWidth="1" min="18" max="18" width="18.13"/>
    <col customWidth="1" min="19" max="26" width="7.63"/>
  </cols>
  <sheetData>
    <row r="1" ht="14.25" customHeight="1"/>
    <row r="2" ht="14.25" customHeight="1">
      <c r="A2" s="1" t="s">
        <v>82</v>
      </c>
      <c r="E2" s="75" t="s">
        <v>83</v>
      </c>
    </row>
    <row r="3" ht="14.25" customHeight="1">
      <c r="A3" s="77">
        <v>2024.0</v>
      </c>
      <c r="B3" s="77">
        <v>2033.0</v>
      </c>
    </row>
    <row r="4" ht="14.25" customHeight="1">
      <c r="A4" s="76">
        <v>7500.0</v>
      </c>
      <c r="B4" s="76">
        <v>20300.0</v>
      </c>
      <c r="C4" s="7" t="s">
        <v>84</v>
      </c>
      <c r="D4" s="7">
        <v>0.89</v>
      </c>
    </row>
    <row r="5" ht="14.25" customHeight="1">
      <c r="A5" s="76">
        <f>+A4*D4</f>
        <v>6675</v>
      </c>
      <c r="B5" s="76">
        <f>+B4*D4</f>
        <v>18067</v>
      </c>
      <c r="C5" s="7" t="s">
        <v>85</v>
      </c>
    </row>
    <row r="6" ht="14.25" customHeight="1"/>
    <row r="7" ht="14.25" customHeight="1"/>
    <row r="8" ht="14.25" customHeight="1"/>
    <row r="9" ht="14.25" customHeight="1">
      <c r="A9" s="7" t="s">
        <v>86</v>
      </c>
      <c r="B9" s="78">
        <v>0.125</v>
      </c>
      <c r="D9" s="78"/>
    </row>
    <row r="10" ht="14.25" customHeight="1">
      <c r="C10" s="7" t="s">
        <v>87</v>
      </c>
      <c r="F10" s="7" t="s">
        <v>88</v>
      </c>
      <c r="I10" s="7" t="s">
        <v>89</v>
      </c>
      <c r="L10" s="7" t="s">
        <v>90</v>
      </c>
    </row>
    <row r="11" ht="14.25" customHeight="1">
      <c r="C11" s="7" t="s">
        <v>91</v>
      </c>
      <c r="D11" s="7" t="s">
        <v>92</v>
      </c>
      <c r="F11" s="7" t="s">
        <v>91</v>
      </c>
      <c r="G11" s="7" t="s">
        <v>92</v>
      </c>
      <c r="I11" s="7" t="s">
        <v>91</v>
      </c>
      <c r="J11" s="7" t="s">
        <v>92</v>
      </c>
    </row>
    <row r="12" ht="14.25" customHeight="1">
      <c r="B12" s="7">
        <v>2024.0</v>
      </c>
      <c r="C12" s="76">
        <f>+A5</f>
        <v>6675</v>
      </c>
      <c r="D12" s="7">
        <v>100.0</v>
      </c>
      <c r="F12" s="7">
        <v>2038.0</v>
      </c>
      <c r="G12" s="7">
        <v>30.0</v>
      </c>
      <c r="I12" s="7">
        <v>128.265</v>
      </c>
      <c r="J12" s="79">
        <v>1.73</v>
      </c>
      <c r="L12" s="80">
        <f t="shared" ref="L12:M12" si="1">+I12/F12</f>
        <v>0.06293670265</v>
      </c>
      <c r="M12" s="80">
        <f t="shared" si="1"/>
        <v>0.05766666667</v>
      </c>
    </row>
    <row r="13" ht="14.25" customHeight="1">
      <c r="B13" s="7">
        <v>2025.0</v>
      </c>
      <c r="C13" s="81">
        <f t="shared" ref="C13:D13" si="2">+C12*(1+$B$9)</f>
        <v>7509.375</v>
      </c>
      <c r="D13" s="81">
        <f t="shared" si="2"/>
        <v>112.5</v>
      </c>
      <c r="F13" s="81">
        <f t="shared" ref="F13:G13" si="3">+F12*(1+$B$9)</f>
        <v>2292.75</v>
      </c>
      <c r="G13" s="81">
        <f t="shared" si="3"/>
        <v>33.75</v>
      </c>
      <c r="I13" s="81">
        <f t="shared" ref="I13:J13" si="4">+I12*(1+$B$9)</f>
        <v>144.298125</v>
      </c>
      <c r="J13" s="79">
        <f t="shared" si="4"/>
        <v>1.94625</v>
      </c>
      <c r="L13" s="80"/>
      <c r="M13" s="80"/>
    </row>
    <row r="14" ht="14.25" customHeight="1">
      <c r="B14" s="7">
        <v>2026.0</v>
      </c>
      <c r="C14" s="81">
        <f t="shared" ref="C14:D14" si="5">+C13*(1+$B$9)</f>
        <v>8448.046875</v>
      </c>
      <c r="D14" s="81">
        <f t="shared" si="5"/>
        <v>126.5625</v>
      </c>
      <c r="F14" s="81">
        <f t="shared" ref="F14:G14" si="6">+F13*(1+$B$9)</f>
        <v>2579.34375</v>
      </c>
      <c r="G14" s="81">
        <f t="shared" si="6"/>
        <v>37.96875</v>
      </c>
      <c r="I14" s="81">
        <f t="shared" ref="I14:J14" si="7">+I13*(1+$B$9)</f>
        <v>162.3353906</v>
      </c>
      <c r="J14" s="79">
        <f t="shared" si="7"/>
        <v>2.18953125</v>
      </c>
      <c r="L14" s="80"/>
      <c r="M14" s="80"/>
    </row>
    <row r="15" ht="14.25" customHeight="1">
      <c r="B15" s="7">
        <v>2027.0</v>
      </c>
      <c r="C15" s="81">
        <f t="shared" ref="C15:D15" si="8">+C14*(1+$B$9)</f>
        <v>9504.052734</v>
      </c>
      <c r="D15" s="81">
        <f t="shared" si="8"/>
        <v>142.3828125</v>
      </c>
      <c r="F15" s="81">
        <f t="shared" ref="F15:G15" si="9">+F14*(1+$B$9)</f>
        <v>2901.761719</v>
      </c>
      <c r="G15" s="81">
        <f t="shared" si="9"/>
        <v>42.71484375</v>
      </c>
      <c r="I15" s="81">
        <f t="shared" ref="I15:J15" si="10">+I14*(1+$B$9)</f>
        <v>182.6273145</v>
      </c>
      <c r="J15" s="79">
        <f t="shared" si="10"/>
        <v>2.463222656</v>
      </c>
      <c r="L15" s="80"/>
      <c r="M15" s="80"/>
    </row>
    <row r="16" ht="14.25" customHeight="1">
      <c r="B16" s="7">
        <v>2028.0</v>
      </c>
      <c r="C16" s="81">
        <f t="shared" ref="C16:D16" si="11">+C15*(1+$B$9)</f>
        <v>10692.05933</v>
      </c>
      <c r="D16" s="81">
        <f t="shared" si="11"/>
        <v>160.1806641</v>
      </c>
      <c r="F16" s="81">
        <f t="shared" ref="F16:G16" si="12">+F15*(1+$B$9)</f>
        <v>3264.481934</v>
      </c>
      <c r="G16" s="81">
        <f t="shared" si="12"/>
        <v>48.05419922</v>
      </c>
      <c r="I16" s="81">
        <f t="shared" ref="I16:J16" si="13">+I15*(1+$B$9)</f>
        <v>205.4557288</v>
      </c>
      <c r="J16" s="79">
        <f t="shared" si="13"/>
        <v>2.771125488</v>
      </c>
      <c r="L16" s="80"/>
      <c r="M16" s="80"/>
    </row>
    <row r="17" ht="14.25" customHeight="1">
      <c r="B17" s="7">
        <v>2029.0</v>
      </c>
      <c r="C17" s="81">
        <f t="shared" ref="C17:D17" si="14">+C16*(1+$B$9)</f>
        <v>12028.56674</v>
      </c>
      <c r="D17" s="81">
        <f t="shared" si="14"/>
        <v>180.2032471</v>
      </c>
      <c r="F17" s="81">
        <f t="shared" ref="F17:G17" si="15">+F16*(1+$B$9)</f>
        <v>3672.542175</v>
      </c>
      <c r="G17" s="81">
        <f t="shared" si="15"/>
        <v>54.06097412</v>
      </c>
      <c r="I17" s="81">
        <f t="shared" ref="I17:J17" si="16">+I16*(1+$B$9)</f>
        <v>231.1376949</v>
      </c>
      <c r="J17" s="79">
        <f t="shared" si="16"/>
        <v>3.117516174</v>
      </c>
      <c r="L17" s="80"/>
      <c r="M17" s="80"/>
    </row>
    <row r="18" ht="14.25" customHeight="1">
      <c r="B18" s="7">
        <v>2030.0</v>
      </c>
      <c r="C18" s="81">
        <f t="shared" ref="C18:D18" si="17">+C17*(1+$B$9)</f>
        <v>13532.13758</v>
      </c>
      <c r="D18" s="81">
        <f t="shared" si="17"/>
        <v>202.728653</v>
      </c>
      <c r="F18" s="81">
        <f t="shared" ref="F18:G18" si="18">+F17*(1+$B$9)</f>
        <v>4131.609947</v>
      </c>
      <c r="G18" s="81">
        <f t="shared" si="18"/>
        <v>60.81859589</v>
      </c>
      <c r="I18" s="81">
        <f t="shared" ref="I18:J18" si="19">+I17*(1+$B$9)</f>
        <v>260.0299067</v>
      </c>
      <c r="J18" s="79">
        <f t="shared" si="19"/>
        <v>3.507205696</v>
      </c>
      <c r="L18" s="80"/>
      <c r="M18" s="80"/>
    </row>
    <row r="19" ht="14.25" customHeight="1">
      <c r="B19" s="7">
        <v>2031.0</v>
      </c>
      <c r="C19" s="81">
        <f t="shared" ref="C19:D19" si="20">+C18*(1+$B$9)</f>
        <v>15223.65478</v>
      </c>
      <c r="D19" s="81">
        <f t="shared" si="20"/>
        <v>228.0697346</v>
      </c>
      <c r="F19" s="81">
        <f t="shared" ref="F19:G19" si="21">+F18*(1+$B$9)</f>
        <v>4648.061191</v>
      </c>
      <c r="G19" s="81">
        <f t="shared" si="21"/>
        <v>68.42092037</v>
      </c>
      <c r="I19" s="81">
        <f t="shared" ref="I19:J19" si="22">+I18*(1+$B$9)</f>
        <v>292.5336451</v>
      </c>
      <c r="J19" s="79">
        <f t="shared" si="22"/>
        <v>3.945606408</v>
      </c>
      <c r="L19" s="80"/>
      <c r="M19" s="80"/>
    </row>
    <row r="20" ht="14.25" customHeight="1">
      <c r="B20" s="7">
        <v>2032.0</v>
      </c>
      <c r="C20" s="81">
        <f t="shared" ref="C20:D20" si="23">+C19*(1+$B$9)</f>
        <v>17126.61163</v>
      </c>
      <c r="D20" s="81">
        <f t="shared" si="23"/>
        <v>256.5784514</v>
      </c>
      <c r="F20" s="81">
        <f t="shared" ref="F20:G20" si="24">+F19*(1+$B$9)</f>
        <v>5229.068839</v>
      </c>
      <c r="G20" s="81">
        <f t="shared" si="24"/>
        <v>76.97353542</v>
      </c>
      <c r="I20" s="81">
        <f t="shared" ref="I20:J20" si="25">+I19*(1+$B$9)</f>
        <v>329.1003507</v>
      </c>
      <c r="J20" s="79">
        <f t="shared" si="25"/>
        <v>4.438807209</v>
      </c>
      <c r="L20" s="80"/>
      <c r="M20" s="80"/>
    </row>
    <row r="21" ht="14.25" customHeight="1">
      <c r="B21" s="7">
        <v>2033.0</v>
      </c>
      <c r="C21" s="81">
        <f t="shared" ref="C21:D21" si="26">+C20*(1+$B$9)</f>
        <v>19267.43808</v>
      </c>
      <c r="D21" s="81">
        <f t="shared" si="26"/>
        <v>288.6507578</v>
      </c>
      <c r="F21" s="81">
        <f t="shared" ref="F21:G21" si="27">+F20*(1+$B$9)</f>
        <v>5882.702444</v>
      </c>
      <c r="G21" s="81">
        <f t="shared" si="27"/>
        <v>86.59522735</v>
      </c>
      <c r="I21" s="81">
        <f t="shared" ref="I21:J21" si="28">+I20*(1+$B$9)</f>
        <v>370.2378945</v>
      </c>
      <c r="J21" s="79">
        <f t="shared" si="28"/>
        <v>4.99365811</v>
      </c>
      <c r="L21" s="80"/>
      <c r="M21" s="80"/>
    </row>
    <row r="22" ht="14.25" customHeight="1">
      <c r="F22" s="76"/>
      <c r="G22" s="76"/>
      <c r="K22" s="7">
        <v>5000.0</v>
      </c>
      <c r="L22" s="7">
        <v>5000.0</v>
      </c>
      <c r="M22" s="7">
        <v>5000.0</v>
      </c>
      <c r="N22" s="7">
        <v>10000.0</v>
      </c>
    </row>
    <row r="23" ht="14.25" customHeight="1">
      <c r="F23" s="76"/>
      <c r="G23" s="76"/>
      <c r="K23" s="7">
        <v>250.0</v>
      </c>
      <c r="L23" s="7">
        <v>40.0</v>
      </c>
      <c r="M23" s="7">
        <v>750.0</v>
      </c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7">
        <v>1.5</v>
      </c>
      <c r="L24" s="7">
        <v>1.0</v>
      </c>
      <c r="M24" s="7">
        <v>1.0</v>
      </c>
      <c r="N24" s="7">
        <v>0.5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B25" s="82">
        <v>1000.0</v>
      </c>
      <c r="C25" s="7" t="s">
        <v>36</v>
      </c>
      <c r="K25" s="7" t="s">
        <v>93</v>
      </c>
      <c r="P25" s="7" t="s">
        <v>94</v>
      </c>
      <c r="Q25" s="7" t="s">
        <v>95</v>
      </c>
      <c r="R25" s="7" t="s">
        <v>96</v>
      </c>
    </row>
    <row r="26" ht="14.25" customHeight="1">
      <c r="B26" s="83"/>
      <c r="C26" s="84" t="s">
        <v>97</v>
      </c>
      <c r="D26" s="1"/>
      <c r="E26" s="7" t="s">
        <v>98</v>
      </c>
      <c r="F26" s="84" t="s">
        <v>99</v>
      </c>
      <c r="G26" s="1"/>
      <c r="H26" s="1" t="s">
        <v>100</v>
      </c>
      <c r="K26" s="7" t="s">
        <v>101</v>
      </c>
      <c r="L26" s="7" t="s">
        <v>102</v>
      </c>
      <c r="M26" s="7" t="s">
        <v>103</v>
      </c>
      <c r="N26" s="7" t="s">
        <v>104</v>
      </c>
      <c r="O26" s="75" t="s">
        <v>105</v>
      </c>
      <c r="P26" s="85">
        <v>0.15</v>
      </c>
      <c r="Q26" s="85">
        <v>0.02</v>
      </c>
      <c r="R26" s="85">
        <v>0.15</v>
      </c>
    </row>
    <row r="27" ht="14.25" customHeight="1">
      <c r="B27" s="86">
        <v>45871.0</v>
      </c>
      <c r="C27" s="7">
        <v>10.0</v>
      </c>
      <c r="F27" s="87">
        <f t="shared" ref="F27:F79" si="29">+O27+P27+Q27+R27</f>
        <v>19.7</v>
      </c>
      <c r="H27" s="87">
        <f t="shared" ref="H27:H79" si="30">+C27-F27</f>
        <v>-9.7</v>
      </c>
      <c r="K27" s="7">
        <v>1.5</v>
      </c>
      <c r="L27" s="7">
        <v>0.0</v>
      </c>
      <c r="M27" s="7">
        <v>1.0</v>
      </c>
      <c r="N27" s="7">
        <v>0.5</v>
      </c>
      <c r="O27" s="7">
        <f t="shared" ref="O27:O79" si="31">+SUM(K27:N27)*5500/1000</f>
        <v>16.5</v>
      </c>
      <c r="P27" s="87">
        <f t="shared" ref="P27:P79" si="32">+C27*P$26</f>
        <v>1.5</v>
      </c>
      <c r="Q27" s="87">
        <f t="shared" ref="Q27:Q79" si="33">+C27*Q$26</f>
        <v>0.2</v>
      </c>
      <c r="R27" s="87">
        <f t="shared" ref="R27:R79" si="34">+C27*R$26</f>
        <v>1.5</v>
      </c>
    </row>
    <row r="28" ht="14.25" customHeight="1">
      <c r="B28" s="88">
        <v>45901.0</v>
      </c>
      <c r="C28" s="7">
        <v>15.0</v>
      </c>
      <c r="F28" s="87">
        <f t="shared" si="29"/>
        <v>26.8</v>
      </c>
      <c r="H28" s="89">
        <f t="shared" si="30"/>
        <v>-11.8</v>
      </c>
      <c r="K28" s="7">
        <v>1.5</v>
      </c>
      <c r="L28" s="7">
        <v>1.0</v>
      </c>
      <c r="M28" s="7">
        <v>1.0</v>
      </c>
      <c r="N28" s="7">
        <v>0.5</v>
      </c>
      <c r="O28" s="7">
        <f t="shared" si="31"/>
        <v>22</v>
      </c>
      <c r="P28" s="87">
        <f t="shared" si="32"/>
        <v>2.25</v>
      </c>
      <c r="Q28" s="87">
        <f t="shared" si="33"/>
        <v>0.3</v>
      </c>
      <c r="R28" s="87">
        <f t="shared" si="34"/>
        <v>2.25</v>
      </c>
    </row>
    <row r="29" ht="14.25" customHeight="1">
      <c r="B29" s="88">
        <v>45961.0</v>
      </c>
      <c r="C29" s="7">
        <v>20.0</v>
      </c>
      <c r="F29" s="87">
        <f t="shared" si="29"/>
        <v>28.4</v>
      </c>
      <c r="H29" s="89">
        <f t="shared" si="30"/>
        <v>-8.4</v>
      </c>
      <c r="K29" s="7">
        <v>1.5</v>
      </c>
      <c r="L29" s="7">
        <v>1.0</v>
      </c>
      <c r="M29" s="7">
        <v>1.0</v>
      </c>
      <c r="N29" s="7">
        <v>0.5</v>
      </c>
      <c r="O29" s="7">
        <f t="shared" si="31"/>
        <v>22</v>
      </c>
      <c r="P29" s="87">
        <f t="shared" si="32"/>
        <v>3</v>
      </c>
      <c r="Q29" s="87">
        <f t="shared" si="33"/>
        <v>0.4</v>
      </c>
      <c r="R29" s="87">
        <f t="shared" si="34"/>
        <v>3</v>
      </c>
    </row>
    <row r="30" ht="14.25" customHeight="1">
      <c r="B30" s="86">
        <v>45991.0</v>
      </c>
      <c r="C30" s="7">
        <v>20.0</v>
      </c>
      <c r="F30" s="87">
        <f t="shared" si="29"/>
        <v>28.4</v>
      </c>
      <c r="H30" s="89">
        <f t="shared" si="30"/>
        <v>-8.4</v>
      </c>
      <c r="K30" s="7">
        <v>1.5</v>
      </c>
      <c r="L30" s="7">
        <v>1.0</v>
      </c>
      <c r="M30" s="7">
        <v>1.0</v>
      </c>
      <c r="N30" s="7">
        <v>0.5</v>
      </c>
      <c r="O30" s="7">
        <f t="shared" si="31"/>
        <v>22</v>
      </c>
      <c r="P30" s="87">
        <f t="shared" si="32"/>
        <v>3</v>
      </c>
      <c r="Q30" s="87">
        <f t="shared" si="33"/>
        <v>0.4</v>
      </c>
      <c r="R30" s="87">
        <f t="shared" si="34"/>
        <v>3</v>
      </c>
    </row>
    <row r="31" ht="14.25" customHeight="1">
      <c r="A31" s="1"/>
      <c r="B31" s="90">
        <v>46021.0</v>
      </c>
      <c r="C31" s="1">
        <v>15.0</v>
      </c>
      <c r="D31" s="1">
        <f>SUM(C27:C31)</f>
        <v>80</v>
      </c>
      <c r="E31" s="1"/>
      <c r="F31" s="87">
        <f t="shared" si="29"/>
        <v>26.8</v>
      </c>
      <c r="G31" s="91">
        <f>SUM(F27:F31)</f>
        <v>130.1</v>
      </c>
      <c r="H31" s="91">
        <f t="shared" si="30"/>
        <v>-11.8</v>
      </c>
      <c r="I31" s="91">
        <f>SUM(H27:H31)</f>
        <v>-50.1</v>
      </c>
      <c r="J31" s="1"/>
      <c r="K31" s="7">
        <v>1.5</v>
      </c>
      <c r="L31" s="1">
        <v>1.0</v>
      </c>
      <c r="M31" s="1">
        <v>1.0</v>
      </c>
      <c r="N31" s="1">
        <v>0.5</v>
      </c>
      <c r="O31" s="7">
        <f t="shared" si="31"/>
        <v>22</v>
      </c>
      <c r="P31" s="87">
        <f t="shared" si="32"/>
        <v>2.25</v>
      </c>
      <c r="Q31" s="87">
        <f t="shared" si="33"/>
        <v>0.3</v>
      </c>
      <c r="R31" s="87">
        <f t="shared" si="34"/>
        <v>2.25</v>
      </c>
      <c r="S31" s="1"/>
      <c r="T31" s="1"/>
      <c r="U31" s="1"/>
      <c r="V31" s="1"/>
      <c r="W31" s="1"/>
      <c r="X31" s="1"/>
      <c r="Y31" s="1"/>
      <c r="Z31" s="1"/>
    </row>
    <row r="32" ht="14.25" customHeight="1">
      <c r="B32" s="86">
        <v>46051.0</v>
      </c>
      <c r="C32" s="7">
        <v>27.0</v>
      </c>
      <c r="F32" s="87">
        <f t="shared" si="29"/>
        <v>30.64</v>
      </c>
      <c r="H32" s="89">
        <f t="shared" si="30"/>
        <v>-3.64</v>
      </c>
      <c r="K32" s="7">
        <v>1.5</v>
      </c>
      <c r="L32" s="7">
        <v>1.0</v>
      </c>
      <c r="M32" s="7">
        <v>1.0</v>
      </c>
      <c r="N32" s="7">
        <v>0.5</v>
      </c>
      <c r="O32" s="7">
        <f t="shared" si="31"/>
        <v>22</v>
      </c>
      <c r="P32" s="87">
        <f t="shared" si="32"/>
        <v>4.05</v>
      </c>
      <c r="Q32" s="87">
        <f t="shared" si="33"/>
        <v>0.54</v>
      </c>
      <c r="R32" s="87">
        <f t="shared" si="34"/>
        <v>4.05</v>
      </c>
    </row>
    <row r="33" ht="14.25" customHeight="1">
      <c r="B33" s="88">
        <v>46081.0</v>
      </c>
      <c r="C33" s="7">
        <v>30.0</v>
      </c>
      <c r="F33" s="87">
        <f t="shared" si="29"/>
        <v>31.6</v>
      </c>
      <c r="H33" s="89">
        <f t="shared" si="30"/>
        <v>-1.6</v>
      </c>
      <c r="K33" s="7">
        <v>1.5</v>
      </c>
      <c r="L33" s="7">
        <v>1.0</v>
      </c>
      <c r="M33" s="7">
        <v>1.0</v>
      </c>
      <c r="N33" s="7">
        <v>0.5</v>
      </c>
      <c r="O33" s="7">
        <f t="shared" si="31"/>
        <v>22</v>
      </c>
      <c r="P33" s="87">
        <f t="shared" si="32"/>
        <v>4.5</v>
      </c>
      <c r="Q33" s="87">
        <f t="shared" si="33"/>
        <v>0.6</v>
      </c>
      <c r="R33" s="87">
        <f t="shared" si="34"/>
        <v>4.5</v>
      </c>
    </row>
    <row r="34" ht="14.25" customHeight="1">
      <c r="B34" s="86">
        <v>46111.0</v>
      </c>
      <c r="C34" s="7">
        <v>35.0</v>
      </c>
      <c r="F34" s="87">
        <f t="shared" si="29"/>
        <v>33.2</v>
      </c>
      <c r="H34" s="89">
        <f t="shared" si="30"/>
        <v>1.8</v>
      </c>
      <c r="K34" s="7">
        <v>1.5</v>
      </c>
      <c r="L34" s="7">
        <v>1.0</v>
      </c>
      <c r="M34" s="7">
        <v>1.0</v>
      </c>
      <c r="N34" s="7">
        <v>0.5</v>
      </c>
      <c r="O34" s="7">
        <f t="shared" si="31"/>
        <v>22</v>
      </c>
      <c r="P34" s="87">
        <f t="shared" si="32"/>
        <v>5.25</v>
      </c>
      <c r="Q34" s="87">
        <f t="shared" si="33"/>
        <v>0.7</v>
      </c>
      <c r="R34" s="87">
        <f t="shared" si="34"/>
        <v>5.25</v>
      </c>
    </row>
    <row r="35" ht="14.25" customHeight="1">
      <c r="B35" s="88">
        <v>46141.0</v>
      </c>
      <c r="C35" s="7">
        <v>40.0</v>
      </c>
      <c r="F35" s="87">
        <f t="shared" si="29"/>
        <v>34.8</v>
      </c>
      <c r="H35" s="89">
        <f t="shared" si="30"/>
        <v>5.2</v>
      </c>
      <c r="K35" s="7">
        <v>1.5</v>
      </c>
      <c r="L35" s="7">
        <v>1.0</v>
      </c>
      <c r="M35" s="7">
        <v>1.0</v>
      </c>
      <c r="N35" s="7">
        <v>0.5</v>
      </c>
      <c r="O35" s="7">
        <f t="shared" si="31"/>
        <v>22</v>
      </c>
      <c r="P35" s="87">
        <f t="shared" si="32"/>
        <v>6</v>
      </c>
      <c r="Q35" s="87">
        <f t="shared" si="33"/>
        <v>0.8</v>
      </c>
      <c r="R35" s="87">
        <f t="shared" si="34"/>
        <v>6</v>
      </c>
    </row>
    <row r="36" ht="14.25" customHeight="1">
      <c r="B36" s="86">
        <v>46171.0</v>
      </c>
      <c r="C36" s="7">
        <v>45.0</v>
      </c>
      <c r="F36" s="87">
        <f t="shared" si="29"/>
        <v>36.4</v>
      </c>
      <c r="H36" s="89">
        <f t="shared" si="30"/>
        <v>8.6</v>
      </c>
      <c r="K36" s="7">
        <v>1.5</v>
      </c>
      <c r="L36" s="7">
        <v>1.0</v>
      </c>
      <c r="M36" s="7">
        <v>1.0</v>
      </c>
      <c r="N36" s="7">
        <v>0.5</v>
      </c>
      <c r="O36" s="7">
        <f t="shared" si="31"/>
        <v>22</v>
      </c>
      <c r="P36" s="87">
        <f t="shared" si="32"/>
        <v>6.75</v>
      </c>
      <c r="Q36" s="87">
        <f t="shared" si="33"/>
        <v>0.9</v>
      </c>
      <c r="R36" s="87">
        <f t="shared" si="34"/>
        <v>6.75</v>
      </c>
    </row>
    <row r="37" ht="14.25" customHeight="1">
      <c r="B37" s="88">
        <v>46201.0</v>
      </c>
      <c r="C37" s="7">
        <v>45.0</v>
      </c>
      <c r="F37" s="87">
        <f t="shared" si="29"/>
        <v>36.4</v>
      </c>
      <c r="H37" s="89">
        <f t="shared" si="30"/>
        <v>8.6</v>
      </c>
      <c r="K37" s="7">
        <v>1.5</v>
      </c>
      <c r="L37" s="7">
        <v>1.0</v>
      </c>
      <c r="M37" s="7">
        <v>1.0</v>
      </c>
      <c r="N37" s="7">
        <v>0.5</v>
      </c>
      <c r="O37" s="7">
        <f t="shared" si="31"/>
        <v>22</v>
      </c>
      <c r="P37" s="87">
        <f t="shared" si="32"/>
        <v>6.75</v>
      </c>
      <c r="Q37" s="87">
        <f t="shared" si="33"/>
        <v>0.9</v>
      </c>
      <c r="R37" s="87">
        <f t="shared" si="34"/>
        <v>6.75</v>
      </c>
    </row>
    <row r="38" ht="14.25" customHeight="1">
      <c r="B38" s="86">
        <v>46231.0</v>
      </c>
      <c r="C38" s="7">
        <v>20.0</v>
      </c>
      <c r="F38" s="87">
        <f t="shared" si="29"/>
        <v>28.4</v>
      </c>
      <c r="H38" s="89">
        <f t="shared" si="30"/>
        <v>-8.4</v>
      </c>
      <c r="K38" s="7">
        <v>1.5</v>
      </c>
      <c r="L38" s="7">
        <v>1.0</v>
      </c>
      <c r="M38" s="7">
        <v>1.0</v>
      </c>
      <c r="N38" s="7">
        <v>0.5</v>
      </c>
      <c r="O38" s="7">
        <f t="shared" si="31"/>
        <v>22</v>
      </c>
      <c r="P38" s="87">
        <f t="shared" si="32"/>
        <v>3</v>
      </c>
      <c r="Q38" s="87">
        <f t="shared" si="33"/>
        <v>0.4</v>
      </c>
      <c r="R38" s="87">
        <f t="shared" si="34"/>
        <v>3</v>
      </c>
    </row>
    <row r="39" ht="14.25" customHeight="1">
      <c r="B39" s="88">
        <v>46261.0</v>
      </c>
      <c r="C39" s="7">
        <v>45.0</v>
      </c>
      <c r="E39" s="92">
        <f t="shared" ref="E39:E79" si="35">+C39/C27-1</f>
        <v>3.5</v>
      </c>
      <c r="F39" s="87">
        <f t="shared" si="29"/>
        <v>41.9</v>
      </c>
      <c r="H39" s="89">
        <f t="shared" si="30"/>
        <v>3.1</v>
      </c>
      <c r="K39" s="7">
        <v>1.5</v>
      </c>
      <c r="L39" s="7">
        <v>1.0</v>
      </c>
      <c r="M39" s="7">
        <v>2.0</v>
      </c>
      <c r="N39" s="7">
        <v>0.5</v>
      </c>
      <c r="O39" s="7">
        <f t="shared" si="31"/>
        <v>27.5</v>
      </c>
      <c r="P39" s="87">
        <f t="shared" si="32"/>
        <v>6.75</v>
      </c>
      <c r="Q39" s="87">
        <f t="shared" si="33"/>
        <v>0.9</v>
      </c>
      <c r="R39" s="87">
        <f t="shared" si="34"/>
        <v>6.75</v>
      </c>
    </row>
    <row r="40" ht="14.25" customHeight="1">
      <c r="B40" s="86">
        <v>46291.0</v>
      </c>
      <c r="C40" s="7">
        <v>50.0</v>
      </c>
      <c r="E40" s="92">
        <f t="shared" si="35"/>
        <v>2.333333333</v>
      </c>
      <c r="F40" s="87">
        <f t="shared" si="29"/>
        <v>43.5</v>
      </c>
      <c r="H40" s="89">
        <f t="shared" si="30"/>
        <v>6.5</v>
      </c>
      <c r="K40" s="7">
        <v>1.5</v>
      </c>
      <c r="L40" s="7">
        <v>1.0</v>
      </c>
      <c r="M40" s="7">
        <v>2.0</v>
      </c>
      <c r="N40" s="7">
        <v>0.5</v>
      </c>
      <c r="O40" s="7">
        <f t="shared" si="31"/>
        <v>27.5</v>
      </c>
      <c r="P40" s="87">
        <f t="shared" si="32"/>
        <v>7.5</v>
      </c>
      <c r="Q40" s="87">
        <f t="shared" si="33"/>
        <v>1</v>
      </c>
      <c r="R40" s="87">
        <f t="shared" si="34"/>
        <v>7.5</v>
      </c>
    </row>
    <row r="41" ht="14.25" customHeight="1">
      <c r="B41" s="88">
        <v>46321.0</v>
      </c>
      <c r="C41" s="7">
        <v>50.0</v>
      </c>
      <c r="E41" s="92">
        <f t="shared" si="35"/>
        <v>1.5</v>
      </c>
      <c r="F41" s="87">
        <f t="shared" si="29"/>
        <v>49</v>
      </c>
      <c r="H41" s="89">
        <f t="shared" si="30"/>
        <v>1</v>
      </c>
      <c r="K41" s="7">
        <v>1.5</v>
      </c>
      <c r="L41" s="7">
        <v>2.0</v>
      </c>
      <c r="M41" s="7">
        <v>2.0</v>
      </c>
      <c r="N41" s="7">
        <v>0.5</v>
      </c>
      <c r="O41" s="7">
        <f t="shared" si="31"/>
        <v>33</v>
      </c>
      <c r="P41" s="87">
        <f t="shared" si="32"/>
        <v>7.5</v>
      </c>
      <c r="Q41" s="87">
        <f t="shared" si="33"/>
        <v>1</v>
      </c>
      <c r="R41" s="87">
        <f t="shared" si="34"/>
        <v>7.5</v>
      </c>
    </row>
    <row r="42" ht="14.25" customHeight="1">
      <c r="B42" s="86">
        <v>46351.0</v>
      </c>
      <c r="C42" s="7">
        <v>60.0</v>
      </c>
      <c r="E42" s="92">
        <f t="shared" si="35"/>
        <v>2</v>
      </c>
      <c r="F42" s="87">
        <f t="shared" si="29"/>
        <v>52.2</v>
      </c>
      <c r="H42" s="89">
        <f t="shared" si="30"/>
        <v>7.8</v>
      </c>
      <c r="K42" s="7">
        <v>1.5</v>
      </c>
      <c r="L42" s="7">
        <v>2.0</v>
      </c>
      <c r="M42" s="7">
        <v>2.0</v>
      </c>
      <c r="N42" s="7">
        <v>0.5</v>
      </c>
      <c r="O42" s="7">
        <f t="shared" si="31"/>
        <v>33</v>
      </c>
      <c r="P42" s="87">
        <f t="shared" si="32"/>
        <v>9</v>
      </c>
      <c r="Q42" s="87">
        <f t="shared" si="33"/>
        <v>1.2</v>
      </c>
      <c r="R42" s="87">
        <f t="shared" si="34"/>
        <v>9</v>
      </c>
    </row>
    <row r="43" ht="14.25" customHeight="1">
      <c r="A43" s="1"/>
      <c r="B43" s="90">
        <v>46381.0</v>
      </c>
      <c r="C43" s="1">
        <v>53.0</v>
      </c>
      <c r="D43" s="1">
        <f>SUM(C32:C43)</f>
        <v>500</v>
      </c>
      <c r="E43" s="85">
        <f t="shared" si="35"/>
        <v>2.533333333</v>
      </c>
      <c r="F43" s="87">
        <f t="shared" si="29"/>
        <v>49.96</v>
      </c>
      <c r="G43" s="91">
        <f>SUM(F32:F43)</f>
        <v>468</v>
      </c>
      <c r="H43" s="91">
        <f t="shared" si="30"/>
        <v>3.04</v>
      </c>
      <c r="I43" s="91">
        <f>SUM(H32:H43)</f>
        <v>32</v>
      </c>
      <c r="J43" s="1"/>
      <c r="K43" s="1">
        <v>1.5</v>
      </c>
      <c r="L43" s="1">
        <v>2.0</v>
      </c>
      <c r="M43" s="1">
        <v>2.0</v>
      </c>
      <c r="N43" s="1">
        <v>0.5</v>
      </c>
      <c r="O43" s="7">
        <f t="shared" si="31"/>
        <v>33</v>
      </c>
      <c r="P43" s="87">
        <f t="shared" si="32"/>
        <v>7.95</v>
      </c>
      <c r="Q43" s="87">
        <f t="shared" si="33"/>
        <v>1.06</v>
      </c>
      <c r="R43" s="87">
        <f t="shared" si="34"/>
        <v>7.95</v>
      </c>
      <c r="S43" s="1"/>
      <c r="T43" s="1"/>
      <c r="U43" s="1"/>
      <c r="V43" s="1"/>
      <c r="W43" s="1"/>
      <c r="X43" s="1"/>
      <c r="Y43" s="1"/>
      <c r="Z43" s="1"/>
    </row>
    <row r="44" ht="14.25" customHeight="1">
      <c r="B44" s="86">
        <v>46411.0</v>
      </c>
      <c r="C44" s="7">
        <v>70.0</v>
      </c>
      <c r="E44" s="92">
        <f t="shared" si="35"/>
        <v>1.592592593</v>
      </c>
      <c r="F44" s="87">
        <f t="shared" si="29"/>
        <v>66.4</v>
      </c>
      <c r="H44" s="89">
        <f t="shared" si="30"/>
        <v>3.6</v>
      </c>
      <c r="K44" s="7">
        <v>2.0</v>
      </c>
      <c r="L44" s="7">
        <v>2.0</v>
      </c>
      <c r="M44" s="7">
        <v>3.0</v>
      </c>
      <c r="N44" s="7">
        <v>1.0</v>
      </c>
      <c r="O44" s="7">
        <f t="shared" si="31"/>
        <v>44</v>
      </c>
      <c r="P44" s="87">
        <f t="shared" si="32"/>
        <v>10.5</v>
      </c>
      <c r="Q44" s="87">
        <f t="shared" si="33"/>
        <v>1.4</v>
      </c>
      <c r="R44" s="87">
        <f t="shared" si="34"/>
        <v>10.5</v>
      </c>
    </row>
    <row r="45" ht="14.25" customHeight="1">
      <c r="B45" s="88">
        <v>46441.0</v>
      </c>
      <c r="C45" s="7">
        <v>90.0</v>
      </c>
      <c r="E45" s="92">
        <f t="shared" si="35"/>
        <v>2</v>
      </c>
      <c r="F45" s="87">
        <f t="shared" si="29"/>
        <v>72.8</v>
      </c>
      <c r="H45" s="89">
        <f t="shared" si="30"/>
        <v>17.2</v>
      </c>
      <c r="K45" s="7">
        <v>2.0</v>
      </c>
      <c r="L45" s="7">
        <v>2.0</v>
      </c>
      <c r="M45" s="7">
        <v>3.0</v>
      </c>
      <c r="N45" s="7">
        <v>1.0</v>
      </c>
      <c r="O45" s="7">
        <f t="shared" si="31"/>
        <v>44</v>
      </c>
      <c r="P45" s="87">
        <f t="shared" si="32"/>
        <v>13.5</v>
      </c>
      <c r="Q45" s="87">
        <f t="shared" si="33"/>
        <v>1.8</v>
      </c>
      <c r="R45" s="87">
        <f t="shared" si="34"/>
        <v>13.5</v>
      </c>
    </row>
    <row r="46" ht="14.25" customHeight="1">
      <c r="B46" s="86">
        <v>46471.0</v>
      </c>
      <c r="C46" s="7">
        <v>110.0</v>
      </c>
      <c r="E46" s="92">
        <f t="shared" si="35"/>
        <v>2.142857143</v>
      </c>
      <c r="F46" s="87">
        <f t="shared" si="29"/>
        <v>90.2</v>
      </c>
      <c r="H46" s="89">
        <f t="shared" si="30"/>
        <v>19.8</v>
      </c>
      <c r="K46" s="7">
        <v>3.0</v>
      </c>
      <c r="L46" s="7">
        <v>3.0</v>
      </c>
      <c r="M46" s="7">
        <v>3.0</v>
      </c>
      <c r="N46" s="7">
        <v>1.0</v>
      </c>
      <c r="O46" s="7">
        <f t="shared" si="31"/>
        <v>55</v>
      </c>
      <c r="P46" s="87">
        <f t="shared" si="32"/>
        <v>16.5</v>
      </c>
      <c r="Q46" s="87">
        <f t="shared" si="33"/>
        <v>2.2</v>
      </c>
      <c r="R46" s="87">
        <f t="shared" si="34"/>
        <v>16.5</v>
      </c>
    </row>
    <row r="47" ht="14.25" customHeight="1">
      <c r="B47" s="88">
        <v>46501.0</v>
      </c>
      <c r="C47" s="7">
        <v>140.0</v>
      </c>
      <c r="E47" s="92">
        <f t="shared" si="35"/>
        <v>2.5</v>
      </c>
      <c r="F47" s="87">
        <f t="shared" si="29"/>
        <v>99.8</v>
      </c>
      <c r="H47" s="89">
        <f t="shared" si="30"/>
        <v>40.2</v>
      </c>
      <c r="K47" s="7">
        <v>3.0</v>
      </c>
      <c r="L47" s="7">
        <v>3.0</v>
      </c>
      <c r="M47" s="7">
        <v>3.0</v>
      </c>
      <c r="N47" s="7">
        <v>1.0</v>
      </c>
      <c r="O47" s="7">
        <f t="shared" si="31"/>
        <v>55</v>
      </c>
      <c r="P47" s="87">
        <f t="shared" si="32"/>
        <v>21</v>
      </c>
      <c r="Q47" s="87">
        <f t="shared" si="33"/>
        <v>2.8</v>
      </c>
      <c r="R47" s="87">
        <f t="shared" si="34"/>
        <v>21</v>
      </c>
    </row>
    <row r="48" ht="14.25" customHeight="1">
      <c r="B48" s="86">
        <v>46531.0</v>
      </c>
      <c r="C48" s="7">
        <v>170.0</v>
      </c>
      <c r="E48" s="92">
        <f t="shared" si="35"/>
        <v>2.777777778</v>
      </c>
      <c r="F48" s="87">
        <f t="shared" si="29"/>
        <v>109.4</v>
      </c>
      <c r="H48" s="89">
        <f t="shared" si="30"/>
        <v>60.6</v>
      </c>
      <c r="K48" s="7">
        <v>3.0</v>
      </c>
      <c r="L48" s="7">
        <v>3.0</v>
      </c>
      <c r="M48" s="7">
        <v>3.0</v>
      </c>
      <c r="N48" s="7">
        <v>1.0</v>
      </c>
      <c r="O48" s="7">
        <f t="shared" si="31"/>
        <v>55</v>
      </c>
      <c r="P48" s="87">
        <f t="shared" si="32"/>
        <v>25.5</v>
      </c>
      <c r="Q48" s="87">
        <f t="shared" si="33"/>
        <v>3.4</v>
      </c>
      <c r="R48" s="87">
        <f t="shared" si="34"/>
        <v>25.5</v>
      </c>
    </row>
    <row r="49" ht="14.25" customHeight="1">
      <c r="B49" s="88">
        <v>46561.0</v>
      </c>
      <c r="C49" s="7">
        <v>170.0</v>
      </c>
      <c r="E49" s="92">
        <f t="shared" si="35"/>
        <v>2.777777778</v>
      </c>
      <c r="F49" s="87">
        <f t="shared" si="29"/>
        <v>109.4</v>
      </c>
      <c r="H49" s="89">
        <f t="shared" si="30"/>
        <v>60.6</v>
      </c>
      <c r="K49" s="7">
        <v>3.0</v>
      </c>
      <c r="L49" s="7">
        <v>3.0</v>
      </c>
      <c r="M49" s="7">
        <v>3.0</v>
      </c>
      <c r="N49" s="7">
        <v>1.0</v>
      </c>
      <c r="O49" s="7">
        <f t="shared" si="31"/>
        <v>55</v>
      </c>
      <c r="P49" s="87">
        <f t="shared" si="32"/>
        <v>25.5</v>
      </c>
      <c r="Q49" s="87">
        <f t="shared" si="33"/>
        <v>3.4</v>
      </c>
      <c r="R49" s="87">
        <f t="shared" si="34"/>
        <v>25.5</v>
      </c>
    </row>
    <row r="50" ht="14.25" customHeight="1">
      <c r="B50" s="86">
        <v>46591.0</v>
      </c>
      <c r="C50" s="7">
        <v>50.0</v>
      </c>
      <c r="E50" s="92">
        <f t="shared" si="35"/>
        <v>1.5</v>
      </c>
      <c r="F50" s="87">
        <f t="shared" si="29"/>
        <v>71</v>
      </c>
      <c r="H50" s="89">
        <f t="shared" si="30"/>
        <v>-21</v>
      </c>
      <c r="K50" s="7">
        <v>3.0</v>
      </c>
      <c r="L50" s="7">
        <v>3.0</v>
      </c>
      <c r="M50" s="7">
        <v>3.0</v>
      </c>
      <c r="N50" s="7">
        <v>1.0</v>
      </c>
      <c r="O50" s="7">
        <f t="shared" si="31"/>
        <v>55</v>
      </c>
      <c r="P50" s="87">
        <f t="shared" si="32"/>
        <v>7.5</v>
      </c>
      <c r="Q50" s="87">
        <f t="shared" si="33"/>
        <v>1</v>
      </c>
      <c r="R50" s="87">
        <f t="shared" si="34"/>
        <v>7.5</v>
      </c>
    </row>
    <row r="51" ht="14.25" customHeight="1">
      <c r="B51" s="88">
        <v>46621.0</v>
      </c>
      <c r="C51" s="7">
        <v>150.0</v>
      </c>
      <c r="E51" s="92">
        <f t="shared" si="35"/>
        <v>2.333333333</v>
      </c>
      <c r="F51" s="87">
        <f t="shared" si="29"/>
        <v>103</v>
      </c>
      <c r="H51" s="89">
        <f t="shared" si="30"/>
        <v>47</v>
      </c>
      <c r="K51" s="7">
        <v>3.0</v>
      </c>
      <c r="L51" s="7">
        <v>3.0</v>
      </c>
      <c r="M51" s="7">
        <v>3.0</v>
      </c>
      <c r="N51" s="7">
        <v>1.0</v>
      </c>
      <c r="O51" s="7">
        <f t="shared" si="31"/>
        <v>55</v>
      </c>
      <c r="P51" s="87">
        <f t="shared" si="32"/>
        <v>22.5</v>
      </c>
      <c r="Q51" s="87">
        <f t="shared" si="33"/>
        <v>3</v>
      </c>
      <c r="R51" s="87">
        <f t="shared" si="34"/>
        <v>22.5</v>
      </c>
    </row>
    <row r="52" ht="14.25" customHeight="1">
      <c r="B52" s="86">
        <v>46651.0</v>
      </c>
      <c r="C52" s="7">
        <v>180.0</v>
      </c>
      <c r="E52" s="92">
        <f t="shared" si="35"/>
        <v>2.6</v>
      </c>
      <c r="F52" s="87">
        <f t="shared" si="29"/>
        <v>112.6</v>
      </c>
      <c r="H52" s="89">
        <f t="shared" si="30"/>
        <v>67.4</v>
      </c>
      <c r="K52" s="7">
        <v>3.0</v>
      </c>
      <c r="L52" s="7">
        <v>3.0</v>
      </c>
      <c r="M52" s="7">
        <v>3.0</v>
      </c>
      <c r="N52" s="7">
        <v>1.0</v>
      </c>
      <c r="O52" s="7">
        <f t="shared" si="31"/>
        <v>55</v>
      </c>
      <c r="P52" s="87">
        <f t="shared" si="32"/>
        <v>27</v>
      </c>
      <c r="Q52" s="87">
        <f t="shared" si="33"/>
        <v>3.6</v>
      </c>
      <c r="R52" s="87">
        <f t="shared" si="34"/>
        <v>27</v>
      </c>
    </row>
    <row r="53" ht="14.25" customHeight="1">
      <c r="B53" s="88">
        <v>46681.0</v>
      </c>
      <c r="C53" s="7">
        <v>190.0</v>
      </c>
      <c r="E53" s="92">
        <f t="shared" si="35"/>
        <v>2.8</v>
      </c>
      <c r="F53" s="87">
        <f t="shared" si="29"/>
        <v>115.8</v>
      </c>
      <c r="H53" s="89">
        <f t="shared" si="30"/>
        <v>74.2</v>
      </c>
      <c r="K53" s="7">
        <v>3.0</v>
      </c>
      <c r="L53" s="7">
        <v>3.0</v>
      </c>
      <c r="M53" s="7">
        <v>3.0</v>
      </c>
      <c r="N53" s="7">
        <v>1.0</v>
      </c>
      <c r="O53" s="7">
        <f t="shared" si="31"/>
        <v>55</v>
      </c>
      <c r="P53" s="87">
        <f t="shared" si="32"/>
        <v>28.5</v>
      </c>
      <c r="Q53" s="87">
        <f t="shared" si="33"/>
        <v>3.8</v>
      </c>
      <c r="R53" s="87">
        <f t="shared" si="34"/>
        <v>28.5</v>
      </c>
    </row>
    <row r="54" ht="14.25" customHeight="1">
      <c r="B54" s="86">
        <v>46711.0</v>
      </c>
      <c r="C54" s="7">
        <v>210.0</v>
      </c>
      <c r="E54" s="92">
        <f t="shared" si="35"/>
        <v>2.5</v>
      </c>
      <c r="F54" s="87">
        <f t="shared" si="29"/>
        <v>122.2</v>
      </c>
      <c r="H54" s="89">
        <f t="shared" si="30"/>
        <v>87.8</v>
      </c>
      <c r="K54" s="7">
        <v>3.0</v>
      </c>
      <c r="L54" s="7">
        <v>3.0</v>
      </c>
      <c r="M54" s="7">
        <v>3.0</v>
      </c>
      <c r="N54" s="7">
        <v>1.0</v>
      </c>
      <c r="O54" s="7">
        <f t="shared" si="31"/>
        <v>55</v>
      </c>
      <c r="P54" s="87">
        <f t="shared" si="32"/>
        <v>31.5</v>
      </c>
      <c r="Q54" s="87">
        <f t="shared" si="33"/>
        <v>4.2</v>
      </c>
      <c r="R54" s="87">
        <f t="shared" si="34"/>
        <v>31.5</v>
      </c>
    </row>
    <row r="55" ht="14.25" customHeight="1">
      <c r="A55" s="1"/>
      <c r="B55" s="90">
        <v>46741.0</v>
      </c>
      <c r="C55" s="1">
        <v>170.0</v>
      </c>
      <c r="D55" s="1">
        <f>SUM(C44:C55)</f>
        <v>1700</v>
      </c>
      <c r="E55" s="85">
        <f t="shared" si="35"/>
        <v>2.20754717</v>
      </c>
      <c r="F55" s="87">
        <f t="shared" si="29"/>
        <v>109.4</v>
      </c>
      <c r="G55" s="91">
        <f>SUM(F44:F55)</f>
        <v>1182</v>
      </c>
      <c r="H55" s="91">
        <f t="shared" si="30"/>
        <v>60.6</v>
      </c>
      <c r="I55" s="91">
        <f>SUM(H44:H55)</f>
        <v>518</v>
      </c>
      <c r="J55" s="1"/>
      <c r="K55" s="1">
        <v>3.0</v>
      </c>
      <c r="L55" s="1">
        <v>3.0</v>
      </c>
      <c r="M55" s="1">
        <v>3.0</v>
      </c>
      <c r="N55" s="1">
        <v>1.0</v>
      </c>
      <c r="O55" s="7">
        <f t="shared" si="31"/>
        <v>55</v>
      </c>
      <c r="P55" s="91">
        <f t="shared" si="32"/>
        <v>25.5</v>
      </c>
      <c r="Q55" s="91">
        <f t="shared" si="33"/>
        <v>3.4</v>
      </c>
      <c r="R55" s="91">
        <f t="shared" si="34"/>
        <v>25.5</v>
      </c>
      <c r="S55" s="1"/>
      <c r="T55" s="1"/>
      <c r="U55" s="1"/>
      <c r="V55" s="1"/>
      <c r="W55" s="1"/>
      <c r="X55" s="1"/>
      <c r="Y55" s="1"/>
      <c r="Z55" s="1"/>
    </row>
    <row r="56" ht="14.25" customHeight="1">
      <c r="A56" s="92">
        <v>0.3</v>
      </c>
      <c r="B56" s="86">
        <v>46771.0</v>
      </c>
      <c r="C56" s="7">
        <f t="shared" ref="C56:C67" si="36">+C44*(1+$A$56)</f>
        <v>91</v>
      </c>
      <c r="E56" s="92">
        <f t="shared" si="35"/>
        <v>0.3</v>
      </c>
      <c r="F56" s="87">
        <f t="shared" si="29"/>
        <v>89.62</v>
      </c>
      <c r="H56" s="89">
        <f t="shared" si="30"/>
        <v>1.38</v>
      </c>
      <c r="K56" s="7">
        <v>3.0</v>
      </c>
      <c r="L56" s="81">
        <v>3.0</v>
      </c>
      <c r="M56" s="7">
        <v>4.0</v>
      </c>
      <c r="N56" s="7">
        <v>1.0</v>
      </c>
      <c r="O56" s="7">
        <f t="shared" si="31"/>
        <v>60.5</v>
      </c>
      <c r="P56" s="87">
        <f t="shared" si="32"/>
        <v>13.65</v>
      </c>
      <c r="Q56" s="87">
        <f t="shared" si="33"/>
        <v>1.82</v>
      </c>
      <c r="R56" s="87">
        <f t="shared" si="34"/>
        <v>13.65</v>
      </c>
    </row>
    <row r="57" ht="14.25" customHeight="1">
      <c r="B57" s="88">
        <v>46801.0</v>
      </c>
      <c r="C57" s="7">
        <f t="shared" si="36"/>
        <v>117</v>
      </c>
      <c r="E57" s="92">
        <f t="shared" si="35"/>
        <v>0.3</v>
      </c>
      <c r="F57" s="87">
        <f t="shared" si="29"/>
        <v>103.0275</v>
      </c>
      <c r="H57" s="89">
        <f t="shared" si="30"/>
        <v>13.9725</v>
      </c>
      <c r="K57" s="7">
        <v>4.0</v>
      </c>
      <c r="L57" s="81">
        <f>+C57/$L$23</f>
        <v>2.925</v>
      </c>
      <c r="M57" s="7">
        <v>4.0</v>
      </c>
      <c r="N57" s="7">
        <v>1.0</v>
      </c>
      <c r="O57" s="7">
        <f t="shared" si="31"/>
        <v>65.5875</v>
      </c>
      <c r="P57" s="87">
        <f t="shared" si="32"/>
        <v>17.55</v>
      </c>
      <c r="Q57" s="87">
        <f t="shared" si="33"/>
        <v>2.34</v>
      </c>
      <c r="R57" s="87">
        <f t="shared" si="34"/>
        <v>17.55</v>
      </c>
    </row>
    <row r="58" ht="14.25" customHeight="1">
      <c r="B58" s="86">
        <v>46831.0</v>
      </c>
      <c r="C58" s="7">
        <f t="shared" si="36"/>
        <v>143</v>
      </c>
      <c r="E58" s="92">
        <f t="shared" si="35"/>
        <v>0.3</v>
      </c>
      <c r="F58" s="87">
        <f t="shared" si="29"/>
        <v>111.76</v>
      </c>
      <c r="H58" s="89">
        <f t="shared" si="30"/>
        <v>31.24</v>
      </c>
      <c r="K58" s="7">
        <v>4.0</v>
      </c>
      <c r="L58" s="81">
        <v>3.0</v>
      </c>
      <c r="M58" s="7">
        <v>4.0</v>
      </c>
      <c r="N58" s="7">
        <v>1.0</v>
      </c>
      <c r="O58" s="7">
        <f t="shared" si="31"/>
        <v>66</v>
      </c>
      <c r="P58" s="87">
        <f t="shared" si="32"/>
        <v>21.45</v>
      </c>
      <c r="Q58" s="87">
        <f t="shared" si="33"/>
        <v>2.86</v>
      </c>
      <c r="R58" s="87">
        <f t="shared" si="34"/>
        <v>21.45</v>
      </c>
    </row>
    <row r="59" ht="14.25" customHeight="1">
      <c r="B59" s="88">
        <v>46861.0</v>
      </c>
      <c r="C59" s="7">
        <f t="shared" si="36"/>
        <v>182</v>
      </c>
      <c r="E59" s="92">
        <f t="shared" si="35"/>
        <v>0.3</v>
      </c>
      <c r="F59" s="87">
        <f t="shared" si="29"/>
        <v>129.74</v>
      </c>
      <c r="H59" s="89">
        <f t="shared" si="30"/>
        <v>52.26</v>
      </c>
      <c r="K59" s="7">
        <v>4.0</v>
      </c>
      <c r="L59" s="81">
        <v>4.0</v>
      </c>
      <c r="M59" s="7">
        <v>4.0</v>
      </c>
      <c r="N59" s="7">
        <v>1.0</v>
      </c>
      <c r="O59" s="7">
        <f t="shared" si="31"/>
        <v>71.5</v>
      </c>
      <c r="P59" s="87">
        <f t="shared" si="32"/>
        <v>27.3</v>
      </c>
      <c r="Q59" s="87">
        <f t="shared" si="33"/>
        <v>3.64</v>
      </c>
      <c r="R59" s="87">
        <f t="shared" si="34"/>
        <v>27.3</v>
      </c>
    </row>
    <row r="60" ht="14.25" customHeight="1">
      <c r="B60" s="86">
        <v>46891.0</v>
      </c>
      <c r="C60" s="7">
        <f t="shared" si="36"/>
        <v>221</v>
      </c>
      <c r="E60" s="92">
        <f t="shared" si="35"/>
        <v>0.3</v>
      </c>
      <c r="F60" s="87">
        <f t="shared" si="29"/>
        <v>142.22</v>
      </c>
      <c r="H60" s="89">
        <f t="shared" si="30"/>
        <v>78.78</v>
      </c>
      <c r="K60" s="7">
        <v>4.0</v>
      </c>
      <c r="L60" s="81">
        <v>4.0</v>
      </c>
      <c r="M60" s="7">
        <v>4.0</v>
      </c>
      <c r="N60" s="7">
        <v>1.0</v>
      </c>
      <c r="O60" s="7">
        <f t="shared" si="31"/>
        <v>71.5</v>
      </c>
      <c r="P60" s="87">
        <f t="shared" si="32"/>
        <v>33.15</v>
      </c>
      <c r="Q60" s="87">
        <f t="shared" si="33"/>
        <v>4.42</v>
      </c>
      <c r="R60" s="87">
        <f t="shared" si="34"/>
        <v>33.15</v>
      </c>
    </row>
    <row r="61" ht="14.25" customHeight="1">
      <c r="B61" s="88">
        <v>46921.0</v>
      </c>
      <c r="C61" s="7">
        <f t="shared" si="36"/>
        <v>221</v>
      </c>
      <c r="E61" s="92">
        <f t="shared" si="35"/>
        <v>0.3</v>
      </c>
      <c r="F61" s="87">
        <f t="shared" si="29"/>
        <v>142.22</v>
      </c>
      <c r="H61" s="89">
        <f t="shared" si="30"/>
        <v>78.78</v>
      </c>
      <c r="K61" s="7">
        <v>4.0</v>
      </c>
      <c r="L61" s="81">
        <v>4.0</v>
      </c>
      <c r="M61" s="7">
        <v>4.0</v>
      </c>
      <c r="N61" s="7">
        <v>1.0</v>
      </c>
      <c r="O61" s="7">
        <f t="shared" si="31"/>
        <v>71.5</v>
      </c>
      <c r="P61" s="87">
        <f t="shared" si="32"/>
        <v>33.15</v>
      </c>
      <c r="Q61" s="87">
        <f t="shared" si="33"/>
        <v>4.42</v>
      </c>
      <c r="R61" s="87">
        <f t="shared" si="34"/>
        <v>33.15</v>
      </c>
    </row>
    <row r="62" ht="14.25" customHeight="1">
      <c r="B62" s="86">
        <v>46951.0</v>
      </c>
      <c r="C62" s="7">
        <f t="shared" si="36"/>
        <v>65</v>
      </c>
      <c r="E62" s="92">
        <f t="shared" si="35"/>
        <v>0.3</v>
      </c>
      <c r="F62" s="87">
        <f t="shared" si="29"/>
        <v>92.3</v>
      </c>
      <c r="H62" s="89">
        <f t="shared" si="30"/>
        <v>-27.3</v>
      </c>
      <c r="K62" s="7">
        <v>4.0</v>
      </c>
      <c r="L62" s="81">
        <v>4.0</v>
      </c>
      <c r="M62" s="7">
        <v>4.0</v>
      </c>
      <c r="N62" s="7">
        <v>1.0</v>
      </c>
      <c r="O62" s="7">
        <f t="shared" si="31"/>
        <v>71.5</v>
      </c>
      <c r="P62" s="87">
        <f t="shared" si="32"/>
        <v>9.75</v>
      </c>
      <c r="Q62" s="87">
        <f t="shared" si="33"/>
        <v>1.3</v>
      </c>
      <c r="R62" s="87">
        <f t="shared" si="34"/>
        <v>9.75</v>
      </c>
    </row>
    <row r="63" ht="14.25" customHeight="1">
      <c r="B63" s="88">
        <v>46981.0</v>
      </c>
      <c r="C63" s="7">
        <f t="shared" si="36"/>
        <v>195</v>
      </c>
      <c r="E63" s="92">
        <f t="shared" si="35"/>
        <v>0.3</v>
      </c>
      <c r="F63" s="87">
        <f t="shared" si="29"/>
        <v>133.9</v>
      </c>
      <c r="H63" s="89">
        <f t="shared" si="30"/>
        <v>61.1</v>
      </c>
      <c r="K63" s="7">
        <v>4.0</v>
      </c>
      <c r="L63" s="81">
        <v>4.0</v>
      </c>
      <c r="M63" s="7">
        <v>4.0</v>
      </c>
      <c r="N63" s="7">
        <v>1.0</v>
      </c>
      <c r="O63" s="7">
        <f t="shared" si="31"/>
        <v>71.5</v>
      </c>
      <c r="P63" s="87">
        <f t="shared" si="32"/>
        <v>29.25</v>
      </c>
      <c r="Q63" s="87">
        <f t="shared" si="33"/>
        <v>3.9</v>
      </c>
      <c r="R63" s="87">
        <f t="shared" si="34"/>
        <v>29.25</v>
      </c>
    </row>
    <row r="64" ht="14.25" customHeight="1">
      <c r="B64" s="86">
        <v>47011.0</v>
      </c>
      <c r="C64" s="7">
        <f t="shared" si="36"/>
        <v>234</v>
      </c>
      <c r="E64" s="92">
        <f t="shared" si="35"/>
        <v>0.3</v>
      </c>
      <c r="F64" s="87">
        <f t="shared" si="29"/>
        <v>146.38</v>
      </c>
      <c r="H64" s="89">
        <f t="shared" si="30"/>
        <v>87.62</v>
      </c>
      <c r="K64" s="7">
        <v>4.0</v>
      </c>
      <c r="L64" s="81">
        <v>4.0</v>
      </c>
      <c r="M64" s="7">
        <v>4.0</v>
      </c>
      <c r="N64" s="7">
        <v>1.0</v>
      </c>
      <c r="O64" s="7">
        <f t="shared" si="31"/>
        <v>71.5</v>
      </c>
      <c r="P64" s="87">
        <f t="shared" si="32"/>
        <v>35.1</v>
      </c>
      <c r="Q64" s="87">
        <f t="shared" si="33"/>
        <v>4.68</v>
      </c>
      <c r="R64" s="87">
        <f t="shared" si="34"/>
        <v>35.1</v>
      </c>
    </row>
    <row r="65" ht="14.25" customHeight="1">
      <c r="B65" s="88">
        <v>47041.0</v>
      </c>
      <c r="C65" s="7">
        <f t="shared" si="36"/>
        <v>247</v>
      </c>
      <c r="E65" s="92">
        <f t="shared" si="35"/>
        <v>0.3</v>
      </c>
      <c r="F65" s="87">
        <f t="shared" si="29"/>
        <v>150.54</v>
      </c>
      <c r="H65" s="89">
        <f t="shared" si="30"/>
        <v>96.46</v>
      </c>
      <c r="K65" s="7">
        <v>4.0</v>
      </c>
      <c r="L65" s="81">
        <v>4.0</v>
      </c>
      <c r="M65" s="7">
        <v>4.0</v>
      </c>
      <c r="N65" s="7">
        <v>1.0</v>
      </c>
      <c r="O65" s="7">
        <f t="shared" si="31"/>
        <v>71.5</v>
      </c>
      <c r="P65" s="87">
        <f t="shared" si="32"/>
        <v>37.05</v>
      </c>
      <c r="Q65" s="87">
        <f t="shared" si="33"/>
        <v>4.94</v>
      </c>
      <c r="R65" s="87">
        <f t="shared" si="34"/>
        <v>37.05</v>
      </c>
    </row>
    <row r="66" ht="14.25" customHeight="1">
      <c r="B66" s="86">
        <v>47071.0</v>
      </c>
      <c r="C66" s="7">
        <f t="shared" si="36"/>
        <v>273</v>
      </c>
      <c r="E66" s="92">
        <f t="shared" si="35"/>
        <v>0.3</v>
      </c>
      <c r="F66" s="87">
        <f t="shared" si="29"/>
        <v>158.86</v>
      </c>
      <c r="H66" s="89">
        <f t="shared" si="30"/>
        <v>114.14</v>
      </c>
      <c r="K66" s="7">
        <v>4.0</v>
      </c>
      <c r="L66" s="81">
        <v>4.0</v>
      </c>
      <c r="M66" s="7">
        <v>4.0</v>
      </c>
      <c r="N66" s="7">
        <v>1.0</v>
      </c>
      <c r="O66" s="7">
        <f t="shared" si="31"/>
        <v>71.5</v>
      </c>
      <c r="P66" s="87">
        <f t="shared" si="32"/>
        <v>40.95</v>
      </c>
      <c r="Q66" s="87">
        <f t="shared" si="33"/>
        <v>5.46</v>
      </c>
      <c r="R66" s="87">
        <f t="shared" si="34"/>
        <v>40.95</v>
      </c>
    </row>
    <row r="67" ht="14.25" customHeight="1">
      <c r="A67" s="1"/>
      <c r="B67" s="90">
        <v>47101.0</v>
      </c>
      <c r="C67" s="1">
        <f t="shared" si="36"/>
        <v>221</v>
      </c>
      <c r="D67" s="1">
        <f>SUM(C56:C67)</f>
        <v>2210</v>
      </c>
      <c r="E67" s="85">
        <f t="shared" si="35"/>
        <v>0.3</v>
      </c>
      <c r="F67" s="87">
        <f t="shared" si="29"/>
        <v>142.22</v>
      </c>
      <c r="G67" s="91">
        <f>SUM(F56:F67)</f>
        <v>1542.7875</v>
      </c>
      <c r="H67" s="91">
        <f t="shared" si="30"/>
        <v>78.78</v>
      </c>
      <c r="I67" s="91">
        <f>SUM(H56:H67)</f>
        <v>667.2125</v>
      </c>
      <c r="J67" s="1"/>
      <c r="K67" s="1">
        <v>4.0</v>
      </c>
      <c r="L67" s="81">
        <v>4.0</v>
      </c>
      <c r="M67" s="1">
        <v>4.0</v>
      </c>
      <c r="N67" s="1">
        <v>1.0</v>
      </c>
      <c r="O67" s="7">
        <f t="shared" si="31"/>
        <v>71.5</v>
      </c>
      <c r="P67" s="91">
        <f t="shared" si="32"/>
        <v>33.15</v>
      </c>
      <c r="Q67" s="91">
        <f t="shared" si="33"/>
        <v>4.42</v>
      </c>
      <c r="R67" s="91">
        <f t="shared" si="34"/>
        <v>33.15</v>
      </c>
      <c r="S67" s="1"/>
      <c r="T67" s="1"/>
      <c r="U67" s="1"/>
      <c r="V67" s="1"/>
      <c r="W67" s="1"/>
      <c r="X67" s="1"/>
      <c r="Y67" s="1"/>
      <c r="Z67" s="1"/>
    </row>
    <row r="68" ht="14.25" customHeight="1">
      <c r="A68" s="92">
        <v>0.35</v>
      </c>
      <c r="B68" s="86">
        <v>47131.0</v>
      </c>
      <c r="C68" s="7">
        <f t="shared" ref="C68:C79" si="37">+C56*(1+$A$68)</f>
        <v>122.85</v>
      </c>
      <c r="E68" s="92">
        <f t="shared" si="35"/>
        <v>0.35</v>
      </c>
      <c r="F68" s="87">
        <f t="shared" si="29"/>
        <v>127.312</v>
      </c>
      <c r="H68" s="89">
        <f t="shared" si="30"/>
        <v>-4.462</v>
      </c>
      <c r="K68" s="7">
        <v>5.0</v>
      </c>
      <c r="L68" s="81">
        <v>5.0</v>
      </c>
      <c r="M68" s="7">
        <v>5.0</v>
      </c>
      <c r="N68" s="7">
        <v>1.0</v>
      </c>
      <c r="O68" s="7">
        <f t="shared" si="31"/>
        <v>88</v>
      </c>
      <c r="P68" s="87">
        <f t="shared" si="32"/>
        <v>18.4275</v>
      </c>
      <c r="Q68" s="87">
        <f t="shared" si="33"/>
        <v>2.457</v>
      </c>
      <c r="R68" s="87">
        <f t="shared" si="34"/>
        <v>18.4275</v>
      </c>
    </row>
    <row r="69" ht="14.25" customHeight="1">
      <c r="B69" s="88">
        <v>47161.0</v>
      </c>
      <c r="C69" s="7">
        <f t="shared" si="37"/>
        <v>157.95</v>
      </c>
      <c r="E69" s="92">
        <f t="shared" si="35"/>
        <v>0.35</v>
      </c>
      <c r="F69" s="87">
        <f t="shared" si="29"/>
        <v>138.544</v>
      </c>
      <c r="H69" s="89">
        <f t="shared" si="30"/>
        <v>19.406</v>
      </c>
      <c r="K69" s="7">
        <v>5.0</v>
      </c>
      <c r="L69" s="81">
        <v>5.0</v>
      </c>
      <c r="M69" s="7">
        <v>5.0</v>
      </c>
      <c r="N69" s="7">
        <v>1.0</v>
      </c>
      <c r="O69" s="7">
        <f t="shared" si="31"/>
        <v>88</v>
      </c>
      <c r="P69" s="87">
        <f t="shared" si="32"/>
        <v>23.6925</v>
      </c>
      <c r="Q69" s="87">
        <f t="shared" si="33"/>
        <v>3.159</v>
      </c>
      <c r="R69" s="87">
        <f t="shared" si="34"/>
        <v>23.6925</v>
      </c>
    </row>
    <row r="70" ht="14.25" customHeight="1">
      <c r="B70" s="86">
        <v>47191.0</v>
      </c>
      <c r="C70" s="7">
        <f t="shared" si="37"/>
        <v>193.05</v>
      </c>
      <c r="E70" s="92">
        <f t="shared" si="35"/>
        <v>0.35</v>
      </c>
      <c r="F70" s="87">
        <f t="shared" si="29"/>
        <v>149.776</v>
      </c>
      <c r="H70" s="89">
        <f t="shared" si="30"/>
        <v>43.274</v>
      </c>
      <c r="K70" s="7">
        <v>5.0</v>
      </c>
      <c r="L70" s="81">
        <v>5.0</v>
      </c>
      <c r="M70" s="7">
        <v>5.0</v>
      </c>
      <c r="N70" s="7">
        <v>1.0</v>
      </c>
      <c r="O70" s="7">
        <f t="shared" si="31"/>
        <v>88</v>
      </c>
      <c r="P70" s="87">
        <f t="shared" si="32"/>
        <v>28.9575</v>
      </c>
      <c r="Q70" s="87">
        <f t="shared" si="33"/>
        <v>3.861</v>
      </c>
      <c r="R70" s="87">
        <f t="shared" si="34"/>
        <v>28.9575</v>
      </c>
    </row>
    <row r="71" ht="14.25" customHeight="1">
      <c r="B71" s="88">
        <v>47221.0</v>
      </c>
      <c r="C71" s="7">
        <f t="shared" si="37"/>
        <v>245.7</v>
      </c>
      <c r="E71" s="92">
        <f t="shared" si="35"/>
        <v>0.35</v>
      </c>
      <c r="F71" s="87">
        <f t="shared" si="29"/>
        <v>166.624</v>
      </c>
      <c r="H71" s="89">
        <f t="shared" si="30"/>
        <v>79.076</v>
      </c>
      <c r="K71" s="7">
        <v>5.0</v>
      </c>
      <c r="L71" s="81">
        <v>5.0</v>
      </c>
      <c r="M71" s="7">
        <v>5.0</v>
      </c>
      <c r="N71" s="7">
        <v>1.0</v>
      </c>
      <c r="O71" s="7">
        <f t="shared" si="31"/>
        <v>88</v>
      </c>
      <c r="P71" s="87">
        <f t="shared" si="32"/>
        <v>36.855</v>
      </c>
      <c r="Q71" s="87">
        <f t="shared" si="33"/>
        <v>4.914</v>
      </c>
      <c r="R71" s="87">
        <f t="shared" si="34"/>
        <v>36.855</v>
      </c>
    </row>
    <row r="72" ht="14.25" customHeight="1">
      <c r="B72" s="86">
        <v>47251.0</v>
      </c>
      <c r="C72" s="7">
        <f t="shared" si="37"/>
        <v>298.35</v>
      </c>
      <c r="E72" s="92">
        <f t="shared" si="35"/>
        <v>0.35</v>
      </c>
      <c r="F72" s="87">
        <f t="shared" si="29"/>
        <v>183.472</v>
      </c>
      <c r="H72" s="89">
        <f t="shared" si="30"/>
        <v>114.878</v>
      </c>
      <c r="K72" s="7">
        <v>5.0</v>
      </c>
      <c r="L72" s="81">
        <v>5.0</v>
      </c>
      <c r="M72" s="7">
        <v>5.0</v>
      </c>
      <c r="N72" s="7">
        <v>1.0</v>
      </c>
      <c r="O72" s="7">
        <f t="shared" si="31"/>
        <v>88</v>
      </c>
      <c r="P72" s="87">
        <f t="shared" si="32"/>
        <v>44.7525</v>
      </c>
      <c r="Q72" s="87">
        <f t="shared" si="33"/>
        <v>5.967</v>
      </c>
      <c r="R72" s="87">
        <f t="shared" si="34"/>
        <v>44.7525</v>
      </c>
    </row>
    <row r="73" ht="14.25" customHeight="1">
      <c r="B73" s="88">
        <v>47281.0</v>
      </c>
      <c r="C73" s="7">
        <f t="shared" si="37"/>
        <v>298.35</v>
      </c>
      <c r="E73" s="92">
        <f t="shared" si="35"/>
        <v>0.35</v>
      </c>
      <c r="F73" s="87">
        <f t="shared" si="29"/>
        <v>183.472</v>
      </c>
      <c r="H73" s="89">
        <f t="shared" si="30"/>
        <v>114.878</v>
      </c>
      <c r="K73" s="7">
        <v>5.0</v>
      </c>
      <c r="L73" s="81">
        <v>5.0</v>
      </c>
      <c r="M73" s="7">
        <v>5.0</v>
      </c>
      <c r="N73" s="7">
        <v>1.0</v>
      </c>
      <c r="O73" s="7">
        <f t="shared" si="31"/>
        <v>88</v>
      </c>
      <c r="P73" s="87">
        <f t="shared" si="32"/>
        <v>44.7525</v>
      </c>
      <c r="Q73" s="87">
        <f t="shared" si="33"/>
        <v>5.967</v>
      </c>
      <c r="R73" s="87">
        <f t="shared" si="34"/>
        <v>44.7525</v>
      </c>
    </row>
    <row r="74" ht="14.25" customHeight="1">
      <c r="B74" s="86">
        <v>47311.0</v>
      </c>
      <c r="C74" s="7">
        <f t="shared" si="37"/>
        <v>87.75</v>
      </c>
      <c r="E74" s="92">
        <f t="shared" si="35"/>
        <v>0.35</v>
      </c>
      <c r="F74" s="87">
        <f t="shared" si="29"/>
        <v>116.08</v>
      </c>
      <c r="H74" s="89">
        <f t="shared" si="30"/>
        <v>-28.33</v>
      </c>
      <c r="K74" s="7">
        <v>5.0</v>
      </c>
      <c r="L74" s="81">
        <v>5.0</v>
      </c>
      <c r="M74" s="7">
        <v>5.0</v>
      </c>
      <c r="N74" s="7">
        <v>1.0</v>
      </c>
      <c r="O74" s="7">
        <f t="shared" si="31"/>
        <v>88</v>
      </c>
      <c r="P74" s="87">
        <f t="shared" si="32"/>
        <v>13.1625</v>
      </c>
      <c r="Q74" s="87">
        <f t="shared" si="33"/>
        <v>1.755</v>
      </c>
      <c r="R74" s="87">
        <f t="shared" si="34"/>
        <v>13.1625</v>
      </c>
    </row>
    <row r="75" ht="14.25" customHeight="1">
      <c r="B75" s="88">
        <v>47341.0</v>
      </c>
      <c r="C75" s="7">
        <f t="shared" si="37"/>
        <v>263.25</v>
      </c>
      <c r="E75" s="92">
        <f t="shared" si="35"/>
        <v>0.35</v>
      </c>
      <c r="F75" s="87">
        <f t="shared" si="29"/>
        <v>172.24</v>
      </c>
      <c r="H75" s="89">
        <f t="shared" si="30"/>
        <v>91.01</v>
      </c>
      <c r="K75" s="7">
        <v>5.0</v>
      </c>
      <c r="L75" s="81">
        <v>5.0</v>
      </c>
      <c r="M75" s="7">
        <v>5.0</v>
      </c>
      <c r="N75" s="7">
        <v>1.0</v>
      </c>
      <c r="O75" s="7">
        <f t="shared" si="31"/>
        <v>88</v>
      </c>
      <c r="P75" s="87">
        <f t="shared" si="32"/>
        <v>39.4875</v>
      </c>
      <c r="Q75" s="87">
        <f t="shared" si="33"/>
        <v>5.265</v>
      </c>
      <c r="R75" s="87">
        <f t="shared" si="34"/>
        <v>39.4875</v>
      </c>
    </row>
    <row r="76" ht="14.25" customHeight="1">
      <c r="B76" s="86">
        <v>47371.0</v>
      </c>
      <c r="C76" s="7">
        <f t="shared" si="37"/>
        <v>315.9</v>
      </c>
      <c r="E76" s="92">
        <f t="shared" si="35"/>
        <v>0.35</v>
      </c>
      <c r="F76" s="87">
        <f t="shared" si="29"/>
        <v>189.088</v>
      </c>
      <c r="H76" s="89">
        <f t="shared" si="30"/>
        <v>126.812</v>
      </c>
      <c r="K76" s="7">
        <v>5.0</v>
      </c>
      <c r="L76" s="81">
        <v>5.0</v>
      </c>
      <c r="M76" s="7">
        <v>5.0</v>
      </c>
      <c r="N76" s="7">
        <v>1.0</v>
      </c>
      <c r="O76" s="7">
        <f t="shared" si="31"/>
        <v>88</v>
      </c>
      <c r="P76" s="87">
        <f t="shared" si="32"/>
        <v>47.385</v>
      </c>
      <c r="Q76" s="87">
        <f t="shared" si="33"/>
        <v>6.318</v>
      </c>
      <c r="R76" s="87">
        <f t="shared" si="34"/>
        <v>47.385</v>
      </c>
    </row>
    <row r="77" ht="14.25" customHeight="1">
      <c r="B77" s="88">
        <v>47401.0</v>
      </c>
      <c r="C77" s="7">
        <f t="shared" si="37"/>
        <v>333.45</v>
      </c>
      <c r="E77" s="92">
        <f t="shared" si="35"/>
        <v>0.35</v>
      </c>
      <c r="F77" s="87">
        <f t="shared" si="29"/>
        <v>194.704</v>
      </c>
      <c r="H77" s="89">
        <f t="shared" si="30"/>
        <v>138.746</v>
      </c>
      <c r="K77" s="7">
        <v>5.0</v>
      </c>
      <c r="L77" s="81">
        <v>5.0</v>
      </c>
      <c r="M77" s="7">
        <v>5.0</v>
      </c>
      <c r="N77" s="7">
        <v>1.0</v>
      </c>
      <c r="O77" s="7">
        <f t="shared" si="31"/>
        <v>88</v>
      </c>
      <c r="P77" s="87">
        <f t="shared" si="32"/>
        <v>50.0175</v>
      </c>
      <c r="Q77" s="87">
        <f t="shared" si="33"/>
        <v>6.669</v>
      </c>
      <c r="R77" s="87">
        <f t="shared" si="34"/>
        <v>50.0175</v>
      </c>
    </row>
    <row r="78" ht="14.25" customHeight="1">
      <c r="B78" s="86">
        <v>47431.0</v>
      </c>
      <c r="C78" s="7">
        <f t="shared" si="37"/>
        <v>368.55</v>
      </c>
      <c r="E78" s="92">
        <f t="shared" si="35"/>
        <v>0.35</v>
      </c>
      <c r="F78" s="87">
        <f t="shared" si="29"/>
        <v>205.936</v>
      </c>
      <c r="H78" s="89">
        <f t="shared" si="30"/>
        <v>162.614</v>
      </c>
      <c r="K78" s="7">
        <v>5.0</v>
      </c>
      <c r="L78" s="81">
        <v>5.0</v>
      </c>
      <c r="M78" s="7">
        <v>5.0</v>
      </c>
      <c r="N78" s="7">
        <v>1.0</v>
      </c>
      <c r="O78" s="7">
        <f t="shared" si="31"/>
        <v>88</v>
      </c>
      <c r="P78" s="87">
        <f t="shared" si="32"/>
        <v>55.2825</v>
      </c>
      <c r="Q78" s="87">
        <f t="shared" si="33"/>
        <v>7.371</v>
      </c>
      <c r="R78" s="87">
        <f t="shared" si="34"/>
        <v>55.2825</v>
      </c>
    </row>
    <row r="79" ht="14.25" customHeight="1">
      <c r="A79" s="1"/>
      <c r="B79" s="90">
        <v>47461.0</v>
      </c>
      <c r="C79" s="1">
        <f t="shared" si="37"/>
        <v>298.35</v>
      </c>
      <c r="D79" s="93">
        <f>SUM(C68:C79)</f>
        <v>2983.5</v>
      </c>
      <c r="E79" s="85">
        <f t="shared" si="35"/>
        <v>0.35</v>
      </c>
      <c r="F79" s="87">
        <f t="shared" si="29"/>
        <v>183.472</v>
      </c>
      <c r="G79" s="91">
        <f>SUM(F68:F79)</f>
        <v>2010.72</v>
      </c>
      <c r="H79" s="89">
        <f t="shared" si="30"/>
        <v>114.878</v>
      </c>
      <c r="I79" s="91">
        <f>SUM(H68:H79)</f>
        <v>972.78</v>
      </c>
      <c r="J79" s="1"/>
      <c r="K79" s="1">
        <v>5.0</v>
      </c>
      <c r="L79" s="81">
        <v>5.0</v>
      </c>
      <c r="M79" s="1">
        <v>5.0</v>
      </c>
      <c r="N79" s="1">
        <v>1.0</v>
      </c>
      <c r="O79" s="7">
        <f t="shared" si="31"/>
        <v>88</v>
      </c>
      <c r="P79" s="87">
        <f t="shared" si="32"/>
        <v>44.7525</v>
      </c>
      <c r="Q79" s="87">
        <f t="shared" si="33"/>
        <v>5.967</v>
      </c>
      <c r="R79" s="87">
        <f t="shared" si="34"/>
        <v>44.7525</v>
      </c>
      <c r="S79" s="1"/>
      <c r="T79" s="1"/>
      <c r="U79" s="1"/>
      <c r="V79" s="1"/>
      <c r="W79" s="1"/>
      <c r="X79" s="1"/>
      <c r="Y79" s="1"/>
      <c r="Z79" s="1"/>
    </row>
    <row r="80" ht="14.25" customHeight="1">
      <c r="B80" s="86"/>
      <c r="E80" s="92"/>
    </row>
    <row r="81" ht="14.25" customHeight="1">
      <c r="B81" s="88"/>
      <c r="E81" s="92"/>
    </row>
    <row r="82" ht="14.25" customHeight="1">
      <c r="B82" s="86"/>
      <c r="E82" s="92"/>
    </row>
    <row r="83" ht="14.25" customHeight="1">
      <c r="B83" s="88"/>
      <c r="E83" s="92"/>
    </row>
    <row r="84" ht="14.25" customHeight="1">
      <c r="B84" s="86"/>
      <c r="E84" s="92"/>
    </row>
    <row r="85" ht="14.25" customHeight="1">
      <c r="B85" s="88"/>
      <c r="E85" s="92"/>
    </row>
    <row r="86" ht="14.25" customHeight="1">
      <c r="B86" s="86"/>
      <c r="E86" s="92"/>
    </row>
    <row r="87" ht="14.25" customHeight="1">
      <c r="B87" s="88"/>
      <c r="E87" s="92"/>
    </row>
    <row r="88" ht="14.25" customHeight="1">
      <c r="B88" s="86"/>
      <c r="E88" s="92"/>
    </row>
    <row r="89" ht="14.25" customHeight="1">
      <c r="B89" s="88"/>
      <c r="E89" s="92"/>
    </row>
    <row r="90" ht="14.25" customHeight="1">
      <c r="B90" s="86"/>
      <c r="E90" s="92"/>
    </row>
    <row r="91" ht="14.25" customHeight="1">
      <c r="B91" s="88"/>
      <c r="E91" s="92"/>
    </row>
    <row r="92" ht="14.25" customHeight="1">
      <c r="B92" s="86"/>
      <c r="E92" s="92"/>
    </row>
    <row r="93" ht="14.25" customHeight="1">
      <c r="B93" s="88"/>
      <c r="E93" s="92"/>
    </row>
    <row r="94" ht="14.25" customHeight="1">
      <c r="B94" s="86"/>
      <c r="E94" s="92"/>
    </row>
    <row r="95" ht="14.25" customHeight="1">
      <c r="B95" s="88"/>
      <c r="E95" s="92"/>
    </row>
    <row r="96" ht="14.25" customHeight="1">
      <c r="B96" s="86"/>
      <c r="E96" s="92"/>
    </row>
    <row r="97" ht="14.25" customHeight="1">
      <c r="B97" s="88"/>
      <c r="E97" s="92"/>
    </row>
    <row r="98" ht="14.25" customHeight="1">
      <c r="B98" s="86"/>
      <c r="E98" s="92"/>
    </row>
    <row r="99" ht="14.25" customHeight="1">
      <c r="B99" s="88"/>
      <c r="E99" s="92"/>
    </row>
    <row r="100" ht="14.25" customHeight="1">
      <c r="B100" s="86"/>
      <c r="E100" s="92"/>
    </row>
    <row r="101" ht="14.25" customHeight="1">
      <c r="B101" s="88"/>
      <c r="E101" s="92"/>
    </row>
    <row r="102" ht="14.25" customHeight="1">
      <c r="B102" s="86"/>
      <c r="E102" s="92"/>
    </row>
    <row r="103" ht="14.25" customHeight="1">
      <c r="B103" s="88"/>
      <c r="E103" s="92"/>
    </row>
    <row r="104" ht="14.25" customHeight="1">
      <c r="B104" s="86"/>
      <c r="E104" s="92"/>
    </row>
    <row r="105" ht="14.25" customHeight="1">
      <c r="B105" s="88"/>
      <c r="E105" s="92"/>
    </row>
    <row r="106" ht="14.25" customHeight="1">
      <c r="B106" s="86"/>
      <c r="E106" s="92"/>
    </row>
    <row r="107" ht="14.25" customHeight="1">
      <c r="B107" s="88"/>
      <c r="E107" s="92"/>
    </row>
    <row r="108" ht="14.25" customHeight="1">
      <c r="B108" s="86"/>
      <c r="E108" s="92"/>
    </row>
    <row r="109" ht="14.25" customHeight="1">
      <c r="B109" s="88"/>
      <c r="E109" s="92"/>
    </row>
    <row r="110" ht="14.25" customHeight="1">
      <c r="B110" s="86"/>
      <c r="E110" s="92"/>
    </row>
    <row r="111" ht="14.25" customHeight="1">
      <c r="B111" s="88"/>
      <c r="E111" s="92"/>
    </row>
    <row r="112" ht="14.25" customHeight="1">
      <c r="B112" s="86"/>
      <c r="E112" s="92"/>
    </row>
    <row r="113" ht="14.25" customHeight="1">
      <c r="B113" s="88"/>
      <c r="E113" s="92"/>
    </row>
    <row r="114" ht="14.25" customHeight="1">
      <c r="B114" s="86"/>
      <c r="E114" s="92"/>
    </row>
    <row r="115" ht="14.25" customHeight="1">
      <c r="B115" s="88"/>
      <c r="E115" s="92"/>
    </row>
    <row r="116" ht="14.25" customHeight="1">
      <c r="B116" s="86"/>
      <c r="E116" s="92"/>
    </row>
    <row r="117" ht="14.25" customHeight="1">
      <c r="B117" s="88"/>
      <c r="E117" s="92"/>
    </row>
    <row r="118" ht="14.25" customHeight="1">
      <c r="B118" s="86"/>
      <c r="E118" s="92"/>
    </row>
    <row r="119" ht="14.25" customHeight="1">
      <c r="B119" s="88"/>
      <c r="E119" s="92"/>
    </row>
    <row r="120" ht="14.25" customHeight="1">
      <c r="B120" s="86"/>
      <c r="E120" s="92"/>
    </row>
    <row r="121" ht="14.25" customHeight="1">
      <c r="B121" s="88"/>
      <c r="E121" s="92"/>
    </row>
    <row r="122" ht="14.25" customHeight="1">
      <c r="B122" s="86"/>
      <c r="E122" s="92"/>
    </row>
    <row r="123" ht="14.25" customHeight="1">
      <c r="B123" s="88"/>
      <c r="E123" s="92"/>
    </row>
    <row r="124" ht="14.25" customHeight="1">
      <c r="B124" s="86"/>
      <c r="E124" s="92"/>
    </row>
    <row r="125" ht="14.25" customHeight="1">
      <c r="B125" s="88"/>
      <c r="E125" s="92"/>
    </row>
    <row r="126" ht="14.25" customHeight="1">
      <c r="B126" s="86"/>
      <c r="E126" s="92"/>
    </row>
    <row r="127" ht="14.25" customHeight="1">
      <c r="B127" s="88"/>
      <c r="E127" s="92"/>
    </row>
    <row r="128" ht="14.25" customHeight="1">
      <c r="B128" s="86"/>
      <c r="E128" s="92"/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>
      <c r="C2" s="7" t="s">
        <v>80</v>
      </c>
      <c r="D2" s="7" t="s">
        <v>106</v>
      </c>
    </row>
    <row r="3" ht="14.25" customHeight="1">
      <c r="B3" s="7" t="s">
        <v>107</v>
      </c>
      <c r="C3" s="7">
        <v>250.0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2025-06-30T12:07:25Z</dcterms:created>
  <dc:creator>Jussi Simolin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0x010100624FED73BD09FD4FBF4D2D2F4FB73A82</vt:lpwstr>
  </property>
</Properties>
</file>